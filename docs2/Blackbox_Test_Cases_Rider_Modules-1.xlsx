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R1 Profile &amp; Vehicle" sheetId="5" state="visible" r:id="rId5"/>
    <sheet xmlns:r="http://schemas.openxmlformats.org/officeDocument/2006/relationships" name="R2 Availability" sheetId="6" state="visible" r:id="rId6"/>
    <sheet xmlns:r="http://schemas.openxmlformats.org/officeDocument/2006/relationships" name="R3 Job Assignment" sheetId="7" state="visible" r:id="rId7"/>
    <sheet xmlns:r="http://schemas.openxmlformats.org/officeDocument/2006/relationships" name="R4 Pickup" sheetId="8" state="visible" r:id="rId8"/>
    <sheet xmlns:r="http://schemas.openxmlformats.org/officeDocument/2006/relationships" name="R5 Delivery" sheetId="9" state="visible" r:id="rId9"/>
    <sheet xmlns:r="http://schemas.openxmlformats.org/officeDocument/2006/relationships" name="R6 Failed Delivery" sheetId="10" state="visible" r:id="rId10"/>
    <sheet xmlns:r="http://schemas.openxmlformats.org/officeDocument/2006/relationships" name="R7 Earnings &amp; COD" sheetId="11" state="visible" r:id="rId11"/>
  </sheets>
  <definedNames>
    <definedName name="_xlnm._FilterDatabase" localSheetId="4" hidden="1">'R1 Profile &amp; Vehicle'!$A$1:$M$8</definedName>
    <definedName name="_xlnm._FilterDatabase" localSheetId="5" hidden="1">'R2 Availability'!$A$1:$M$5</definedName>
    <definedName name="_xlnm._FilterDatabase" localSheetId="6" hidden="1">'R3 Job Assignment'!$A$1:$M$8</definedName>
    <definedName name="_xlnm._FilterDatabase" localSheetId="7" hidden="1">'R4 Pickup'!$A$1:$M$6</definedName>
    <definedName name="_xlnm._FilterDatabase" localSheetId="8" hidden="1">'R5 Delivery'!$A$1:$M$8</definedName>
    <definedName name="_xlnm._FilterDatabase" localSheetId="9" hidden="1">'R6 Failed Delivery'!$A$1:$M$6</definedName>
    <definedName name="_xlnm._FilterDatabase" localSheetId="10" hidden="1">'R7 Earnings &amp; COD'!$A$1:$M$7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Rider Modules (R1–R7)</t>
        </is>
      </c>
    </row>
    <row r="2">
      <c r="A2" s="2" t="inlineStr">
        <is>
          <t>Multi-role e-commerce and logistics platform (Buyer, Seller, Logistics, Rider)</t>
        </is>
      </c>
    </row>
    <row r="4">
      <c r="A4" s="3" t="inlineStr">
        <is>
          <t>Test run details</t>
        </is>
      </c>
    </row>
    <row r="5">
      <c r="A5" s="4" t="inlineStr">
        <is>
          <t>System under test</t>
        </is>
      </c>
      <c r="B5" s="5" t="inlineStr">
        <is>
          <t xml:space="preserve">Loved-IT marketplace — existing local React frontend and Laravel API</t>
        </is>
      </c>
    </row>
    <row r="6">
      <c r="A6" s="4" t="inlineStr">
        <is>
          <t>Version / build</t>
        </is>
      </c>
      <c r="B6" s="5" t="inlineStr">
        <is>
          <t xml:space="preserve">king/courier-companies, commit 335f7c5; existing local working tree</t>
        </is>
      </c>
    </row>
    <row r="7">
      <c r="A7" s="4" t="inlineStr">
        <is>
          <t>Test environment (browser, device)</t>
        </is>
      </c>
      <c r="B7" s="5" t="inlineStr">
        <is>
          <t xml:space="preserve">Windows; Edge 1366x900 plus real local API. Isolated velure_blackbox DB, separate storage and log mail. Missing features assessed by implementation review.</t>
        </is>
      </c>
    </row>
    <row r="8">
      <c r="A8" s="4" t="inlineStr">
        <is>
          <t>Tester</t>
        </is>
      </c>
      <c r="B8" s="5" t="inlineStr">
        <is>
          <t xml:space="preserve">Codex automated runtime tests and implementation review; method stated in each Remarks cell</t>
        </is>
      </c>
    </row>
    <row r="9">
      <c r="A9" s="4" t="inlineStr">
        <is>
          <t>Date tested</t>
        </is>
      </c>
      <c r="B9" s="5" t="inlineStr">
        <is>
          <t xml:space="preserve">2026-10-18 (Asia/Manila)</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R1 Profile &amp; Vehicle</t>
        </is>
      </c>
      <c r="B13" s="8">
        <f>COUNTA('R1 Profile &amp; Vehicle'!$A$2:$A$200)</f>
        <v/>
      </c>
      <c r="C13" s="8">
        <f>COUNTIF('R1 Profile &amp; Vehicle'!$L$2:$L$200,"Pass")</f>
        <v/>
      </c>
      <c r="D13" s="8">
        <f>COUNTIF('R1 Profile &amp; Vehicle'!$L$2:$L$200,"Fail")</f>
        <v/>
      </c>
      <c r="E13" s="8">
        <f>COUNTIF('R1 Profile &amp; Vehicle'!$L$2:$L$200,"Blocked")</f>
        <v/>
      </c>
      <c r="F13" s="8">
        <f>COUNTIF('R1 Profile &amp; Vehicle'!$L$2:$L$200,"Not Run")</f>
        <v/>
      </c>
      <c r="G13" s="9">
        <f>IF(B13=0,0,C13/B13)</f>
        <v/>
      </c>
    </row>
    <row r="14">
      <c r="A14" s="7" t="inlineStr">
        <is>
          <t>R2 Availability</t>
        </is>
      </c>
      <c r="B14" s="8">
        <f>COUNTA('R2 Availability'!$A$2:$A$200)</f>
        <v/>
      </c>
      <c r="C14" s="8">
        <f>COUNTIF('R2 Availability'!$L$2:$L$200,"Pass")</f>
        <v/>
      </c>
      <c r="D14" s="8">
        <f>COUNTIF('R2 Availability'!$L$2:$L$200,"Fail")</f>
        <v/>
      </c>
      <c r="E14" s="8">
        <f>COUNTIF('R2 Availability'!$L$2:$L$200,"Blocked")</f>
        <v/>
      </c>
      <c r="F14" s="8">
        <f>COUNTIF('R2 Availability'!$L$2:$L$200,"Not Run")</f>
        <v/>
      </c>
      <c r="G14" s="9">
        <f>IF(B14=0,0,C14/B14)</f>
        <v/>
      </c>
    </row>
    <row r="15">
      <c r="A15" s="7" t="inlineStr">
        <is>
          <t>R3 Job Assignment</t>
        </is>
      </c>
      <c r="B15" s="8">
        <f>COUNTA('R3 Job Assignment'!$A$2:$A$200)</f>
        <v/>
      </c>
      <c r="C15" s="8">
        <f>COUNTIF('R3 Job Assignment'!$L$2:$L$200,"Pass")</f>
        <v/>
      </c>
      <c r="D15" s="8">
        <f>COUNTIF('R3 Job Assignment'!$L$2:$L$200,"Fail")</f>
        <v/>
      </c>
      <c r="E15" s="8">
        <f>COUNTIF('R3 Job Assignment'!$L$2:$L$200,"Blocked")</f>
        <v/>
      </c>
      <c r="F15" s="8">
        <f>COUNTIF('R3 Job Assignment'!$L$2:$L$200,"Not Run")</f>
        <v/>
      </c>
      <c r="G15" s="9">
        <f>IF(B15=0,0,C15/B15)</f>
        <v/>
      </c>
    </row>
    <row r="16">
      <c r="A16" s="7" t="inlineStr">
        <is>
          <t>R4 Pickup</t>
        </is>
      </c>
      <c r="B16" s="8">
        <f>COUNTA('R4 Pickup'!$A$2:$A$200)</f>
        <v/>
      </c>
      <c r="C16" s="8">
        <f>COUNTIF('R4 Pickup'!$L$2:$L$200,"Pass")</f>
        <v/>
      </c>
      <c r="D16" s="8">
        <f>COUNTIF('R4 Pickup'!$L$2:$L$200,"Fail")</f>
        <v/>
      </c>
      <c r="E16" s="8">
        <f>COUNTIF('R4 Pickup'!$L$2:$L$200,"Blocked")</f>
        <v/>
      </c>
      <c r="F16" s="8">
        <f>COUNTIF('R4 Pickup'!$L$2:$L$200,"Not Run")</f>
        <v/>
      </c>
      <c r="G16" s="9">
        <f>IF(B16=0,0,C16/B16)</f>
        <v/>
      </c>
    </row>
    <row r="17">
      <c r="A17" s="7" t="inlineStr">
        <is>
          <t>R5 Delivery</t>
        </is>
      </c>
      <c r="B17" s="8">
        <f>COUNTA('R5 Delivery'!$A$2:$A$200)</f>
        <v/>
      </c>
      <c r="C17" s="8">
        <f>COUNTIF('R5 Delivery'!$L$2:$L$200,"Pass")</f>
        <v/>
      </c>
      <c r="D17" s="8">
        <f>COUNTIF('R5 Delivery'!$L$2:$L$200,"Fail")</f>
        <v/>
      </c>
      <c r="E17" s="8">
        <f>COUNTIF('R5 Delivery'!$L$2:$L$200,"Blocked")</f>
        <v/>
      </c>
      <c r="F17" s="8">
        <f>COUNTIF('R5 Delivery'!$L$2:$L$200,"Not Run")</f>
        <v/>
      </c>
      <c r="G17" s="9">
        <f>IF(B17=0,0,C17/B17)</f>
        <v/>
      </c>
    </row>
    <row r="18">
      <c r="A18" s="7" t="inlineStr">
        <is>
          <t>R6 Failed Delivery</t>
        </is>
      </c>
      <c r="B18" s="8">
        <f>COUNTA('R6 Failed Delivery'!$A$2:$A$200)</f>
        <v/>
      </c>
      <c r="C18" s="8">
        <f>COUNTIF('R6 Failed Delivery'!$L$2:$L$200,"Pass")</f>
        <v/>
      </c>
      <c r="D18" s="8">
        <f>COUNTIF('R6 Failed Delivery'!$L$2:$L$200,"Fail")</f>
        <v/>
      </c>
      <c r="E18" s="8">
        <f>COUNTIF('R6 Failed Delivery'!$L$2:$L$200,"Blocked")</f>
        <v/>
      </c>
      <c r="F18" s="8">
        <f>COUNTIF('R6 Failed Delivery'!$L$2:$L$200,"Not Run")</f>
        <v/>
      </c>
      <c r="G18" s="9">
        <f>IF(B18=0,0,C18/B18)</f>
        <v/>
      </c>
    </row>
    <row r="19">
      <c r="A19" s="7" t="inlineStr">
        <is>
          <t>R7 Earnings &amp; COD</t>
        </is>
      </c>
      <c r="B19" s="8">
        <f>COUNTA('R7 Earnings &amp; COD'!$A$2:$A$200)</f>
        <v/>
      </c>
      <c r="C19" s="8">
        <f>COUNTIF('R7 Earnings &amp; COD'!$L$2:$L$200,"Pass")</f>
        <v/>
      </c>
      <c r="D19" s="8">
        <f>COUNTIF('R7 Earnings &amp; COD'!$L$2:$L$200,"Fail")</f>
        <v/>
      </c>
      <c r="E19" s="8">
        <f>COUNTIF('R7 Earnings &amp; COD'!$L$2:$L$200,"Blocked")</f>
        <v/>
      </c>
      <c r="F19" s="8">
        <f>COUNTIF('R7 Earnings &amp; COD'!$L$2:$L$200,"Not Run")</f>
        <v/>
      </c>
      <c r="G19" s="9">
        <f>IF(B19=0,0,C19/B19)</f>
        <v/>
      </c>
    </row>
    <row r="20">
      <c r="A20" s="4" t="inlineStr">
        <is>
          <t>Total</t>
        </is>
      </c>
      <c r="B20" s="4">
        <f>SUM(B13:B19)</f>
        <v/>
      </c>
      <c r="C20" s="4">
        <f>SUM(C13:C19)</f>
        <v/>
      </c>
      <c r="D20" s="4">
        <f>SUM(D13:D19)</f>
        <v/>
      </c>
      <c r="E20" s="4">
        <f>SUM(E13:E19)</f>
        <v/>
      </c>
      <c r="F20" s="4">
        <f>SUM(F13:F19)</f>
        <v/>
      </c>
      <c r="G20" s="10">
        <f>IF(B20=0,0,C20/B20)</f>
        <v/>
      </c>
    </row>
    <row r="22">
      <c r="A22" s="3" t="inlineStr">
        <is>
          <t>How to use this workbook</t>
        </is>
      </c>
    </row>
    <row r="23" ht="16.75" customHeight="1">
      <c r="A23" s="11" t="inlineStr">
        <is>
          <t>1. Riders need orders that sellers have marked Ready for Pickup. Run with the Logistics test set.</t>
        </is>
      </c>
    </row>
    <row r="24" ht="29.5" customHeight="1">
      <c r="A24"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5" ht="29.5" customHeight="1">
      <c r="A25" s="11" t="inlineStr">
        <is>
          <t>3. Check side effects, not just the screen: after each case, confirm the stock, order status, voucher usage, balances and the other roles' views named in the Expected Result. 'Nothing is saved' means the record is missing after a page refresh.</t>
        </is>
      </c>
    </row>
    <row r="26" ht="29.5" customHeight="1">
      <c r="A26" s="11" t="inlineStr">
        <is>
          <t>4. Error messages must appear next to the field (or at the top of the form) and say what is wrong and how to fix it. A generic 'Something went wrong', a blank page, or a 500 error is a Fail even when the action was correctly blocked.</t>
        </is>
      </c>
    </row>
    <row r="27" ht="29.5" customHeight="1">
      <c r="A27" s="11" t="inlineStr">
        <is>
          <t>5. For 'Error Guessing' security cases, a correct block shows a 403 page, a 'not found' page or a redirect, and shows NO data from the other user's record anywhere on the page.</t>
        </is>
      </c>
    </row>
    <row r="28" ht="29.5" customHeight="1">
      <c r="A28" s="11" t="inlineStr">
        <is>
          <t>6. Read the Assumptions sheet first. Rules A2 to A8 are the seven rules the module plan says must be agreed before testing; adjust any case whose rule differs from your system.</t>
        </is>
      </c>
    </row>
    <row r="29" ht="29.5" customHeight="1">
      <c r="A29" s="11" t="inlineStr">
        <is>
          <t>7. Seed the accounts, products, vouchers and shipping rates on the Test Data sheet before running the cases. Emails use example.com; read them from a mail catcher such as Mailtrap.</t>
        </is>
      </c>
    </row>
    <row r="30" ht="16.75" customHeight="1">
      <c r="A30" s="11" t="inlineStr">
        <is>
          <t>8. Test Case IDs follow &lt;ROLE&gt;-&lt;MODULE&gt;-&lt;NNN&gt;. Each module has positive, negative and boundary cases.</t>
        </is>
      </c>
    </row>
    <row r="31" ht="16.75" customHeight="1">
      <c r="A31" s="11" t="inlineStr">
        <is>
          <t>9. Fill in only the yellow cells: Actual Result, Status and Remarks. Pick the Status from the dropdown (Pass, Fail, Blocked, Not Run).</t>
        </is>
      </c>
    </row>
    <row r="32" ht="29.5" customHeight="1">
      <c r="A32" s="11" t="inlineStr">
        <is>
          <t>10. Pass = actual matches expected. Fail = it does not (describe what happened and add a screenshot or bug number in Remarks). Blocked = the case could not be run, for example because an earlier case failed.</t>
        </is>
      </c>
    </row>
    <row r="33" ht="16.75" customHeight="1">
      <c r="A33" s="11" t="inlineStr">
        <is>
          <t>11. The Results by module table above updates automatically from the Status column.</t>
        </is>
      </c>
    </row>
    <row r="35">
      <c r="A35" s="3" t="inlineStr">
        <is>
          <t>Black-box techniques used</t>
        </is>
      </c>
    </row>
    <row r="36">
      <c r="A36" s="4" t="inlineStr">
        <is>
          <t>Equivalence Partitioning</t>
        </is>
      </c>
      <c r="B36" s="8" t="inlineStr">
        <is>
          <t>Inputs are grouped into valid and invalid classes, and one value from each class is tested.</t>
        </is>
      </c>
      <c r="C36" s="12" t="n"/>
      <c r="D36" s="12" t="n"/>
      <c r="E36" s="12" t="n"/>
      <c r="F36" s="12" t="n"/>
      <c r="G36" s="13" t="n"/>
    </row>
    <row r="37">
      <c r="A37" s="4" t="inlineStr">
        <is>
          <t>Boundary Value Analysis</t>
        </is>
      </c>
      <c r="B37" s="8" t="inlineStr">
        <is>
          <t>Values at and just beyond a limit are tested, for example ₱0.99, ₱1.00 and ₱1.01 for a ₱1.00 minimum price.</t>
        </is>
      </c>
      <c r="C37" s="12" t="n"/>
      <c r="D37" s="12" t="n"/>
      <c r="E37" s="12" t="n"/>
      <c r="F37" s="12" t="n"/>
      <c r="G37" s="13" t="n"/>
    </row>
    <row r="38">
      <c r="A38" s="4" t="inlineStr">
        <is>
          <t>Decision Table</t>
        </is>
      </c>
      <c r="B38" s="8" t="inlineStr">
        <is>
          <t>Combinations of conditions are tested, for example which vouchers can stack.</t>
        </is>
      </c>
      <c r="C38" s="12" t="n"/>
      <c r="D38" s="12" t="n"/>
      <c r="E38" s="12" t="n"/>
      <c r="F38" s="12" t="n"/>
      <c r="G38" s="13" t="n"/>
    </row>
    <row r="39">
      <c r="A39" s="4" t="inlineStr">
        <is>
          <t>State Transition</t>
        </is>
      </c>
      <c r="B39" s="8" t="inlineStr">
        <is>
          <t>Changes in order or shipment status are tested, including transitions that must be blocked.</t>
        </is>
      </c>
      <c r="C39" s="12" t="n"/>
      <c r="D39" s="12" t="n"/>
      <c r="E39" s="12" t="n"/>
      <c r="F39" s="12" t="n"/>
      <c r="G39" s="13" t="n"/>
    </row>
    <row r="40">
      <c r="A40" s="4" t="inlineStr">
        <is>
          <t>Use Case Testing</t>
        </is>
      </c>
      <c r="B40" s="8" t="inlineStr">
        <is>
          <t>A complete user flow is tested from start to finish with valid data.</t>
        </is>
      </c>
      <c r="C40" s="12" t="n"/>
      <c r="D40" s="12" t="n"/>
      <c r="E40" s="12" t="n"/>
      <c r="F40" s="12" t="n"/>
      <c r="G40" s="13" t="n"/>
    </row>
    <row r="41">
      <c r="A41" s="4" t="inlineStr">
        <is>
          <t>Error Guessing</t>
        </is>
      </c>
      <c r="B41" s="8" t="inlineStr">
        <is>
          <t>Likely mistakes are tested based on experience, for example double-clicking Place Order or editing an ID in the URL.</t>
        </is>
      </c>
      <c r="C41" s="12" t="n"/>
      <c r="D41" s="12" t="n"/>
      <c r="E41" s="12" t="n"/>
      <c r="F41" s="12" t="n"/>
      <c r="G41" s="13" t="n"/>
    </row>
  </sheetData>
  <mergeCells count="17">
    <mergeCell ref="A32:G32"/>
    <mergeCell ref="B38:G38"/>
    <mergeCell ref="A27:G27"/>
    <mergeCell ref="A31:G31"/>
    <mergeCell ref="B36:G36"/>
    <mergeCell ref="B37:G37"/>
    <mergeCell ref="B41:G41"/>
    <mergeCell ref="A26:G26"/>
    <mergeCell ref="A24:G24"/>
    <mergeCell ref="A30:G30"/>
    <mergeCell ref="B40:G40"/>
    <mergeCell ref="A29:G29"/>
    <mergeCell ref="A25:G25"/>
    <mergeCell ref="A33:G33"/>
    <mergeCell ref="B39:G39"/>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RID-PROF-001</t>
        </is>
      </c>
      <c r="B2" s="8" t="inlineStr">
        <is>
          <t>Profile, Vehicle &amp; Documents</t>
        </is>
      </c>
      <c r="C2" s="8" t="inlineStr">
        <is>
          <t>View profile, vehicle and verification status</t>
        </is>
      </c>
      <c r="D2" s="8" t="inlineStr">
        <is>
          <t>Use Case Testing</t>
        </is>
      </c>
      <c r="E2" s="8" t="inlineStr">
        <is>
          <t>Medium</t>
        </is>
      </c>
      <c r="F2" s="8" t="inlineStr">
        <is>
          <t>Logged in as Rider 1.</t>
        </is>
      </c>
      <c r="G2" s="8" t="inlineStr">
        <is>
          <t>1. Open My Profile.
2. Open each uploaded document.</t>
        </is>
      </c>
      <c r="H2" s="8" t="inlineStr"/>
      <c r="I2" s="8" t="inlineStr">
        <is>
          <t>Shows Pedro Jose Garcia, license N01-23-456789, expiry 03/22/2030, Motorcycle, plate 123ABC, company Bilis Hatid Express Inc., status Active. Both documents open.</t>
        </is>
      </c>
      <c r="J2" s="8" t="inlineStr">
        <is>
          <t>A1</t>
        </is>
      </c>
      <c r="K2" s="5" t="inlineStr">
        <is>
          <t xml:space="preserve">The rider profile exposes hub, vehicle, plate and application status but has no license-number or license-expiry fields. Showing N01-23-456789/03-22-2030 or validating yesterday/today expiry is unavailable.</t>
        </is>
      </c>
      <c r="L2" s="5" t="inlineStr">
        <is>
          <t xml:space="preserve">Fail</t>
        </is>
      </c>
      <c r="M2" s="5" t="inlineStr">
        <is>
          <t xml:space="preserve">Implementation review: backend/app/Http/Resources/RiderProfileResource.php:18. Required behavior in this case is absent or differs. This finding is not a claimed browser execution.</t>
        </is>
      </c>
    </row>
    <row r="3" ht="55" customHeight="1">
      <c r="A3" s="7" t="inlineStr">
        <is>
          <t>RID-PROF-002</t>
        </is>
      </c>
      <c r="B3" s="8" t="inlineStr">
        <is>
          <t>Profile, Vehicle &amp; Documents</t>
        </is>
      </c>
      <c r="C3" s="8" t="inlineStr">
        <is>
          <t>Update vehicle details</t>
        </is>
      </c>
      <c r="D3" s="8" t="inlineStr">
        <is>
          <t>State Transition</t>
        </is>
      </c>
      <c r="E3" s="8" t="inlineStr">
        <is>
          <t>Medium</t>
        </is>
      </c>
      <c r="F3" s="8" t="inlineStr">
        <is>
          <t>Logged in as Rider 1.</t>
        </is>
      </c>
      <c r="G3" s="8" t="inlineStr">
        <is>
          <t>1. Change the plate number and upload a new OR/CR.
2. Save.
3. As Logistics 1, open Rider 1's record.</t>
        </is>
      </c>
      <c r="H3" s="8" t="inlineStr">
        <is>
          <t>Plate: 789GHI
OR/CR: or_cr.pdf (900 KB)</t>
        </is>
      </c>
      <c r="I3" s="8" t="inlineStr">
        <is>
          <t>The change is saved and shown to Logistics 1 with the new OR/CR, flagged for re-verification. The old plate is no longer shown.</t>
        </is>
      </c>
      <c r="J3" s="8" t="inlineStr"/>
      <c r="K3" s="5" t="inlineStr">
        <is>
          <t xml:space="preserve">Vehicle changes save immediately with vehicle_updated_at; no replacement OR/CR or hub re-verification is required by the vehicle update endpoint.</t>
        </is>
      </c>
      <c r="L3" s="5" t="inlineStr">
        <is>
          <t xml:space="preserve">Fail</t>
        </is>
      </c>
      <c r="M3" s="5" t="inlineStr">
        <is>
          <t xml:space="preserve">Implementation review: backend/app/Http/Controllers/Api/V1/RiderController.php:37. Required behavior in this case is absent or differs. This finding is not a claimed browser execution.</t>
        </is>
      </c>
    </row>
    <row r="4" ht="29.5" customHeight="1">
      <c r="A4" s="7" t="inlineStr">
        <is>
          <t>RID-PROF-003</t>
        </is>
      </c>
      <c r="B4" s="8" t="inlineStr">
        <is>
          <t>Profile, Vehicle &amp; Documents</t>
        </is>
      </c>
      <c r="C4" s="8" t="inlineStr">
        <is>
          <t>Plate number already used</t>
        </is>
      </c>
      <c r="D4" s="8" t="inlineStr">
        <is>
          <t>Equivalence Partitioning</t>
        </is>
      </c>
      <c r="E4" s="8" t="inlineStr">
        <is>
          <t>Medium</t>
        </is>
      </c>
      <c r="F4" s="8" t="inlineStr">
        <is>
          <t>Logged in as Rider 1.</t>
        </is>
      </c>
      <c r="G4" s="8" t="inlineStr">
        <is>
          <t>1. Change the plate to each value and save.</t>
        </is>
      </c>
      <c r="H4" s="8" t="inlineStr">
        <is>
          <t>NBC1234
nbc1234</t>
        </is>
      </c>
      <c r="I4" s="8" t="inlineStr">
        <is>
          <t>Both are blocked as already registered. The plate stays 123ABC.</t>
        </is>
      </c>
      <c r="J4" s="8" t="inlineStr"/>
      <c r="K4" s="5" t="inlineStr">
        <is>
          <t xml:space="preserve">Rider 2 plate NBC1234 and lowercase nbc1234 returned 200/200; another rider plate was accepted instead of rejected.</t>
        </is>
      </c>
      <c r="L4" s="5" t="inlineStr">
        <is>
          <t xml:space="preserve">Fail</t>
        </is>
      </c>
      <c r="M4" s="5" t="inlineStr">
        <is>
          <t xml:space="preserve">Tested through the local system API on isolated velure_blackbox; judged against the workbook expected result.</t>
        </is>
      </c>
    </row>
    <row r="5" ht="42.25" customHeight="1">
      <c r="A5" s="7" t="inlineStr">
        <is>
          <t>RID-PROF-004</t>
        </is>
      </c>
      <c r="B5" s="8" t="inlineStr">
        <is>
          <t>Profile, Vehicle &amp; Documents</t>
        </is>
      </c>
      <c r="C5" s="8" t="inlineStr">
        <is>
          <t>License expiry boundary</t>
        </is>
      </c>
      <c r="D5" s="8" t="inlineStr">
        <is>
          <t>Boundary Value Analysis</t>
        </is>
      </c>
      <c r="E5" s="8" t="inlineStr">
        <is>
          <t>High</t>
        </is>
      </c>
      <c r="F5" s="8" t="inlineStr">
        <is>
          <t>Logged in as Rider 1.</t>
        </is>
      </c>
      <c r="G5" s="8" t="inlineStr">
        <is>
          <t>1. Set the license expiry to yesterday and save.
2. Set it to today and save.</t>
        </is>
      </c>
      <c r="H5" s="8" t="inlineStr"/>
      <c r="I5" s="8" t="inlineStr">
        <is>
          <t>Yesterday is rejected with an expiry message. Today is accepted.</t>
        </is>
      </c>
      <c r="J5" s="8" t="inlineStr"/>
      <c r="K5" s="5" t="inlineStr">
        <is>
          <t xml:space="preserve">Could not complete license expiry boundary: there is no license-expiry input/value to set to yesterday or today; the date-boundary validation cannot be submitted.</t>
        </is>
      </c>
      <c r="L5" s="5" t="inlineStr">
        <is>
          <t xml:space="preserve">Blocked</t>
        </is>
      </c>
      <c r="M5" s="5" t="inlineStr">
        <is>
          <t xml:space="preserve">Blocked prerequisite: RID-PROF-001. The required setup/action was unavailable, so the dependent expected result was not verified. Evidence reviewed from the existing runtime/implementation findings; this status review did not rerun the system.</t>
        </is>
      </c>
    </row>
    <row r="6" ht="55" customHeight="1">
      <c r="A6" s="7" t="inlineStr">
        <is>
          <t>RID-PROF-005</t>
        </is>
      </c>
      <c r="B6" s="8" t="inlineStr">
        <is>
          <t>Profile, Vehicle &amp; Documents</t>
        </is>
      </c>
      <c r="C6" s="8" t="inlineStr">
        <is>
          <t>Document upload rules</t>
        </is>
      </c>
      <c r="D6" s="8" t="inlineStr">
        <is>
          <t>Boundary Value Analysis</t>
        </is>
      </c>
      <c r="E6" s="8" t="inlineStr">
        <is>
          <t>Medium</t>
        </is>
      </c>
      <c r="F6" s="8" t="inlineStr">
        <is>
          <t>Logged in as Rider 1.</t>
        </is>
      </c>
      <c r="G6" s="8" t="inlineStr">
        <is>
          <t>1. Upload each file as the driver's license.</t>
        </is>
      </c>
      <c r="H6" s="8" t="inlineStr">
        <is>
          <t>size_5.0MB.jpg (accept)
size_5.1MB.jpg (reject)
price_list.docx (reject)
renamed_exe.jpg (reject)</t>
        </is>
      </c>
      <c r="I6" s="8" t="inlineStr">
        <is>
          <t>Only the 5.0 MB JPG is accepted; the others are rejected and the previous document is kept.</t>
        </is>
      </c>
      <c r="J6" s="8" t="inlineStr">
        <is>
          <t>A16</t>
        </is>
      </c>
      <c r="K6" s="5" t="inlineStr">
        <is>
          <t xml:space="preserve">Could not complete document upload rules: the rider vehicle/account workflow has no replacement OR/CR/license upload, so the requested document replacement/type/size checks cannot be reached.</t>
        </is>
      </c>
      <c r="L6" s="5" t="inlineStr">
        <is>
          <t xml:space="preserve">Blocked</t>
        </is>
      </c>
      <c r="M6" s="5" t="inlineStr">
        <is>
          <t xml:space="preserve">Blocked prerequisite: RID-PROF-002. The required setup/action was unavailable, so the dependent expected result was not verified. Evidence reviewed from the existing runtime/implementation findings; this status review did not rerun the system.</t>
        </is>
      </c>
    </row>
    <row r="7" ht="42.25" customHeight="1">
      <c r="A7" s="7" t="inlineStr">
        <is>
          <t>RID-PROF-006</t>
        </is>
      </c>
      <c r="B7" s="8" t="inlineStr">
        <is>
          <t>Profile, Vehicle &amp; Documents</t>
        </is>
      </c>
      <c r="C7" s="8" t="inlineStr">
        <is>
          <t>Suspended rider cannot work</t>
        </is>
      </c>
      <c r="D7" s="8" t="inlineStr">
        <is>
          <t>State Transition</t>
        </is>
      </c>
      <c r="E7" s="8" t="inlineStr">
        <is>
          <t>High</t>
        </is>
      </c>
      <c r="F7" s="8" t="inlineStr">
        <is>
          <t>Logged in as Rider 3 (Suspended).</t>
        </is>
      </c>
      <c r="G7" s="8" t="inlineStr">
        <is>
          <t>1. Try to go Online.
2. Logistics 1 creates a job near Rider 3 and runs auto-assign.</t>
        </is>
      </c>
      <c r="H7" s="8" t="inlineStr"/>
      <c r="I7" s="8" t="inlineStr">
        <is>
          <t>Rider 3 cannot go Online and sees a suspension message. Rider 3 receives no offer and is not selectable for manual assignment.</t>
        </is>
      </c>
      <c r="J7" s="8" t="inlineStr">
        <is>
          <t>A14</t>
        </is>
      </c>
      <c r="K7" s="5" t="inlineStr">
        <is>
          <t xml:space="preserve">Could not complete suspended rider cannot work: a rider-specific Suspended state cannot be established through the company workflow; account suspension is a separate action.</t>
        </is>
      </c>
      <c r="L7" s="5" t="inlineStr">
        <is>
          <t xml:space="preserve">Blocked</t>
        </is>
      </c>
      <c r="M7" s="5" t="inlineStr">
        <is>
          <t xml:space="preserve">Blocked prerequisite: LOG-RIDER-003. The required setup/action was unavailable, so the dependent expected result was not verified. Evidence reviewed from the existing runtime/implementation findings; this status review did not rerun the system.</t>
        </is>
      </c>
    </row>
    <row r="8" ht="29.5" customHeight="1">
      <c r="A8" s="7" t="inlineStr">
        <is>
          <t>RID-PROF-007</t>
        </is>
      </c>
      <c r="B8" s="8" t="inlineStr">
        <is>
          <t>Profile, Vehicle &amp; Documents</t>
        </is>
      </c>
      <c r="C8" s="8" t="inlineStr">
        <is>
          <t>Rider cannot see another rider's profile</t>
        </is>
      </c>
      <c r="D8" s="8" t="inlineStr">
        <is>
          <t>Error Guessing</t>
        </is>
      </c>
      <c r="E8" s="8" t="inlineStr">
        <is>
          <t>High</t>
        </is>
      </c>
      <c r="F8" s="8" t="inlineStr">
        <is>
          <t>Logged in as Rider 1.</t>
        </is>
      </c>
      <c r="G8" s="8" t="inlineStr">
        <is>
          <t>1. Change the rider ID in the profile URL or request to Rider 2's.</t>
        </is>
      </c>
      <c r="H8" s="8" t="inlineStr"/>
      <c r="I8" s="8" t="inlineStr">
        <is>
          <t>Denied. No Rider 2 data is shown.</t>
        </is>
      </c>
      <c r="J8" s="8" t="inlineStr">
        <is>
          <t>A22</t>
        </is>
      </c>
      <c r="K8" s="5" t="inlineStr">
        <is>
          <t xml:space="preserve">Attempt to open Rider 2 by appending its id to the rider self-profile URL returned HTTP 404; no Rider 2 profile disclosed. Self-profile is token-scoped.</t>
        </is>
      </c>
      <c r="L8" s="5" t="inlineStr">
        <is>
          <t xml:space="preserve">Pass</t>
        </is>
      </c>
      <c r="M8" s="5" t="inlineStr">
        <is>
          <t xml:space="preserve">Tested through the local system API on isolated velure_blackbox; judged against the workbook expected result.</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RID-AVAIL-001</t>
        </is>
      </c>
      <c r="B2" s="8" t="inlineStr">
        <is>
          <t>Availability</t>
        </is>
      </c>
      <c r="C2" s="8" t="inlineStr">
        <is>
          <t>Go Online</t>
        </is>
      </c>
      <c r="D2" s="8" t="inlineStr">
        <is>
          <t>State Transition</t>
        </is>
      </c>
      <c r="E2" s="8" t="inlineStr">
        <is>
          <t>High</t>
        </is>
      </c>
      <c r="F2" s="8" t="inlineStr">
        <is>
          <t>Logged in as Rider 1, Offline. Rider 2 is Offline.</t>
        </is>
      </c>
      <c r="G2" s="8" t="inlineStr">
        <is>
          <t>1. Toggle Online.
2. As Logistics 1, open the rider list.
3. Seller 1 has a COD order for P-02 to ADDR-1 (total ₱500.00) marked Ready for Pickup. Run auto-assign.</t>
        </is>
      </c>
      <c r="H2" s="8" t="inlineStr"/>
      <c r="I2" s="8" t="inlineStr">
        <is>
          <t>Logistics 1 sees Rider 1 as Online within a few seconds. Rider 1 receives the offer.</t>
        </is>
      </c>
      <c r="J2" s="8" t="inlineStr">
        <is>
          <t>A14</t>
        </is>
      </c>
      <c r="K2" s="5" t="inlineStr">
        <is>
          <t xml:space="preserve">There is no Online/Offline availability toggle or session-timeout availability state in the rider routes. Pickup eligibility uses approved status and assigned areas instead of the required availability workflow.</t>
        </is>
      </c>
      <c r="L2" s="5" t="inlineStr">
        <is>
          <t xml:space="preserve">Fail</t>
        </is>
      </c>
      <c r="M2" s="5" t="inlineStr">
        <is>
          <t xml:space="preserve">Implementation review: backend/routes/api.php:461. Required behavior in this case is absent or differs. This finding is not a claimed browser execution.</t>
        </is>
      </c>
    </row>
    <row r="3" ht="55" customHeight="1">
      <c r="A3" s="7" t="inlineStr">
        <is>
          <t>RID-AVAIL-002</t>
        </is>
      </c>
      <c r="B3" s="8" t="inlineStr">
        <is>
          <t>Availability</t>
        </is>
      </c>
      <c r="C3" s="8" t="inlineStr">
        <is>
          <t>Go Offline</t>
        </is>
      </c>
      <c r="D3" s="8" t="inlineStr">
        <is>
          <t>State Transition</t>
        </is>
      </c>
      <c r="E3" s="8" t="inlineStr">
        <is>
          <t>High</t>
        </is>
      </c>
      <c r="F3" s="8" t="inlineStr">
        <is>
          <t>Logged in as Rider 1 (Active, Online, 0 active jobs). Rider 2 is Online.</t>
        </is>
      </c>
      <c r="G3" s="8" t="inlineStr">
        <is>
          <t>1. Toggle Offline.
2. Logistics 1 runs auto-assign for a new job.
3. Logistics 1 opens Manual Assign.</t>
        </is>
      </c>
      <c r="H3" s="8" t="inlineStr"/>
      <c r="I3" s="8" t="inlineStr">
        <is>
          <t>Rider 1 receives no offer, and is not listed in Manual Assign. The job goes to Rider 2.</t>
        </is>
      </c>
      <c r="J3" s="8" t="inlineStr">
        <is>
          <t>A14</t>
        </is>
      </c>
      <c r="K3" s="5" t="inlineStr">
        <is>
          <t xml:space="preserve">Could not complete go offline: the rider cannot first be placed Online using an availability control; Offline, active-job Offline and logout-to-Offline transitions have no required starting state.</t>
        </is>
      </c>
      <c r="L3" s="5" t="inlineStr">
        <is>
          <t xml:space="preserve">Blocked</t>
        </is>
      </c>
      <c r="M3" s="5" t="inlineStr">
        <is>
          <t xml:space="preserve">Blocked prerequisite: RID-AVAIL-001. The required setup/action was unavailable, so the dependent expected result was not verified. Evidence reviewed from the existing runtime/implementation findings; this status review did not rerun the system.</t>
        </is>
      </c>
    </row>
    <row r="4" ht="42.25" customHeight="1">
      <c r="A4" s="7" t="inlineStr">
        <is>
          <t>RID-AVAIL-003</t>
        </is>
      </c>
      <c r="B4" s="8" t="inlineStr">
        <is>
          <t>Availability</t>
        </is>
      </c>
      <c r="C4" s="8" t="inlineStr">
        <is>
          <t>Go Offline with an active job</t>
        </is>
      </c>
      <c r="D4" s="8" t="inlineStr">
        <is>
          <t>State Transition</t>
        </is>
      </c>
      <c r="E4" s="8" t="inlineStr">
        <is>
          <t>Medium</t>
        </is>
      </c>
      <c r="F4" s="8" t="inlineStr">
        <is>
          <t>Logged in as Rider 1 (Active, Online, 0 active jobs). Rider 1 has a Picked Up parcel.</t>
        </is>
      </c>
      <c r="G4" s="8" t="inlineStr">
        <is>
          <t>1. Toggle Offline.
2. Open My Jobs.</t>
        </is>
      </c>
      <c r="H4" s="8" t="inlineStr"/>
      <c r="I4" s="8" t="inlineStr">
        <is>
          <t>Offline is allowed. The Picked Up job stays with Rider 1 and can still be delivered. No new offers arrive.</t>
        </is>
      </c>
      <c r="J4" s="8" t="inlineStr">
        <is>
          <t>A14</t>
        </is>
      </c>
      <c r="K4" s="5" t="inlineStr">
        <is>
          <t xml:space="preserve">Could not complete go offline with an active job: the rider cannot first be placed Online using an availability control; Offline, active-job Offline and logout-to-Offline transitions have no required starting state.</t>
        </is>
      </c>
      <c r="L4" s="5" t="inlineStr">
        <is>
          <t xml:space="preserve">Blocked</t>
        </is>
      </c>
      <c r="M4" s="5" t="inlineStr">
        <is>
          <t xml:space="preserve">Blocked prerequisite: RID-AVAIL-001. The required setup/action was unavailable, so the dependent expected result was not verified. Evidence reviewed from the existing runtime/implementation findings; this status review did not rerun the system.</t>
        </is>
      </c>
    </row>
    <row r="5" ht="42.25" customHeight="1">
      <c r="A5" s="7" t="inlineStr">
        <is>
          <t>RID-AVAIL-004</t>
        </is>
      </c>
      <c r="B5" s="8" t="inlineStr">
        <is>
          <t>Availability</t>
        </is>
      </c>
      <c r="C5" s="8" t="inlineStr">
        <is>
          <t>Offline after logout or session timeout</t>
        </is>
      </c>
      <c r="D5" s="8" t="inlineStr">
        <is>
          <t>Error Guessing</t>
        </is>
      </c>
      <c r="E5" s="8" t="inlineStr">
        <is>
          <t>Low</t>
        </is>
      </c>
      <c r="F5" s="8" t="inlineStr">
        <is>
          <t>Logged in as Rider 1 (Active, Online, 0 active jobs).</t>
        </is>
      </c>
      <c r="G5" s="8" t="inlineStr">
        <is>
          <t>1. Log out.
2. As Logistics 1, check the rider list and run auto-assign.</t>
        </is>
      </c>
      <c r="H5" s="8" t="inlineStr"/>
      <c r="I5" s="8" t="inlineStr">
        <is>
          <t>Rider 1 shows Offline and gets no offer.</t>
        </is>
      </c>
      <c r="J5" s="8" t="inlineStr">
        <is>
          <t>A22</t>
        </is>
      </c>
      <c r="K5" s="5" t="inlineStr">
        <is>
          <t xml:space="preserve">Could not complete offline after logout or session timeout: the rider cannot first be placed Online using an availability control; Offline, active-job Offline and logout-to-Offline transitions have no required starting state.</t>
        </is>
      </c>
      <c r="L5" s="5" t="inlineStr">
        <is>
          <t xml:space="preserve">Blocked</t>
        </is>
      </c>
      <c r="M5" s="5" t="inlineStr">
        <is>
          <t xml:space="preserve">Blocked prerequisite: RID-AVAIL-001. The required setup/action was unavailable, so the dependent expected result was not verified. Evidence reviewed from the existing runtime/implementation findings; this status review did not rerun the system.</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RID-JOB-001</t>
        </is>
      </c>
      <c r="B2" s="8" t="inlineStr">
        <is>
          <t>Job Assignment</t>
        </is>
      </c>
      <c r="C2" s="8" t="inlineStr">
        <is>
          <t>View and accept a job</t>
        </is>
      </c>
      <c r="D2" s="8" t="inlineStr">
        <is>
          <t>Use Case Testing</t>
        </is>
      </c>
      <c r="E2" s="8" t="inlineStr">
        <is>
          <t>High</t>
        </is>
      </c>
      <c r="F2" s="8" t="inlineStr">
        <is>
          <t>Logged in as Rider 1 (Active, Online, 0 active jobs). Seller 1 has a COD order for P-02 to ADDR-1 (total ₱500.00) marked Ready for Pickup. The job is offered to Rider 1.</t>
        </is>
      </c>
      <c r="G2" s="8" t="inlineStr">
        <is>
          <t>1. Open the offer.
2. Check the details.
3. Click Accept.</t>
        </is>
      </c>
      <c r="H2" s="8" t="inlineStr"/>
      <c r="I2" s="8" t="inlineStr">
        <is>
          <t>The offer shows pickup (Seller 1, Commonwealth, QC), drop-off area (Brgy. Central, QC), COD ₱500.00 and pay ₱30.00 pickup. After Accept, the job is Assigned to Rider 1 and Logistics 1 sees Rider 1 as the assignee.</t>
        </is>
      </c>
      <c r="J2" s="8" t="inlineStr">
        <is>
          <t>A10, A33</t>
        </is>
      </c>
      <c r="K2" s="5" t="inlineStr">
        <is>
          <t xml:space="preserve">Pickup accepted (200) as a seller batch; expected fixed 30.00 pickup pay and expiring individual offers are unavailable. Current fee split pays pickup at hub receipt, not Accept.</t>
        </is>
      </c>
      <c r="L2" s="5" t="inlineStr">
        <is>
          <t xml:space="preserve">Fail</t>
        </is>
      </c>
      <c r="M2" s="5" t="inlineStr">
        <is>
          <t xml:space="preserve">Real accept flow exercised; workbook pay/offer requirements differ.</t>
        </is>
      </c>
    </row>
    <row r="3" ht="42.25" customHeight="1">
      <c r="A3" s="7" t="inlineStr">
        <is>
          <t>RID-JOB-002</t>
        </is>
      </c>
      <c r="B3" s="8" t="inlineStr">
        <is>
          <t>Job Assignment</t>
        </is>
      </c>
      <c r="C3" s="8" t="inlineStr">
        <is>
          <t>Decline a job</t>
        </is>
      </c>
      <c r="D3" s="8" t="inlineStr">
        <is>
          <t>Use Case Testing</t>
        </is>
      </c>
      <c r="E3" s="8" t="inlineStr">
        <is>
          <t>Medium</t>
        </is>
      </c>
      <c r="F3" s="8" t="inlineStr">
        <is>
          <t>Logged in as Rider 1 (Active, Online, 0 active jobs). A job is offered; Rider 2 is Online.</t>
        </is>
      </c>
      <c r="G3" s="8" t="inlineStr">
        <is>
          <t>1. Click Decline.</t>
        </is>
      </c>
      <c r="H3" s="8" t="inlineStr"/>
      <c r="I3" s="8" t="inlineStr">
        <is>
          <t>The offer disappears for Rider 1 and is offered to Rider 2. Rider 1 is not assigned.</t>
        </is>
      </c>
      <c r="J3" s="8" t="inlineStr">
        <is>
          <t>A14</t>
        </is>
      </c>
      <c r="K3" s="5" t="inlineStr">
        <is>
          <t xml:space="preserve">Could not complete decline a job: the system does not generate the specified sequential targeted offers. A valid offer/next-rider offer sequence cannot be prepared for decline/timeout tests.</t>
        </is>
      </c>
      <c r="L3" s="5" t="inlineStr">
        <is>
          <t xml:space="preserve">Blocked</t>
        </is>
      </c>
      <c r="M3" s="5" t="inlineStr">
        <is>
          <t xml:space="preserve">Blocked prerequisite: LOG-DISP-001. The required setup/action was unavailable, so the dependent expected result was not verified. Evidence reviewed from the existing runtime/implementation findings; this status review did not rerun the system.</t>
        </is>
      </c>
    </row>
    <row r="4" ht="55" customHeight="1">
      <c r="A4" s="7" t="inlineStr">
        <is>
          <t>RID-JOB-003</t>
        </is>
      </c>
      <c r="B4" s="8" t="inlineStr">
        <is>
          <t>Job Assignment</t>
        </is>
      </c>
      <c r="C4" s="8" t="inlineStr">
        <is>
          <t>Offer timeout</t>
        </is>
      </c>
      <c r="D4" s="8" t="inlineStr">
        <is>
          <t>Boundary Value Analysis</t>
        </is>
      </c>
      <c r="E4" s="8" t="inlineStr">
        <is>
          <t>High</t>
        </is>
      </c>
      <c r="F4" s="8" t="inlineStr">
        <is>
          <t>Logged in as Rider 1 (Active, Online, 0 active jobs).</t>
        </is>
      </c>
      <c r="G4" s="8" t="inlineStr">
        <is>
          <t>1. On one offer, click Accept at 55–59 seconds.
2. On another offer, wait 61 seconds and click Accept.</t>
        </is>
      </c>
      <c r="H4" s="8" t="inlineStr"/>
      <c r="I4" s="8" t="inlineStr">
        <is>
          <t>The first Accept succeeds. After 60 seconds the second offer is expired; Accept is disabled or rejected and the job goes to the next rider.</t>
        </is>
      </c>
      <c r="J4" s="8" t="inlineStr">
        <is>
          <t>A14</t>
        </is>
      </c>
      <c r="K4" s="5" t="inlineStr">
        <is>
          <t xml:space="preserve">Could not complete offer timeout: the system does not generate the specified sequential targeted offers. A valid offer/next-rider offer sequence cannot be prepared for decline/timeout tests.</t>
        </is>
      </c>
      <c r="L4" s="5" t="inlineStr">
        <is>
          <t xml:space="preserve">Blocked</t>
        </is>
      </c>
      <c r="M4" s="5" t="inlineStr">
        <is>
          <t xml:space="preserve">Blocked prerequisite: LOG-DISP-001. The required setup/action was unavailable, so the dependent expected result was not verified. Evidence reviewed from the existing runtime/implementation findings; this status review did not rerun the system.</t>
        </is>
      </c>
    </row>
    <row r="5" ht="55" customHeight="1">
      <c r="A5" s="7" t="inlineStr">
        <is>
          <t>RID-JOB-004</t>
        </is>
      </c>
      <c r="B5" s="8" t="inlineStr">
        <is>
          <t>Job Assignment</t>
        </is>
      </c>
      <c r="C5" s="8" t="inlineStr">
        <is>
          <t>Job goes to Unassigned after 3 declines</t>
        </is>
      </c>
      <c r="D5" s="8" t="inlineStr">
        <is>
          <t>State Transition</t>
        </is>
      </c>
      <c r="E5" s="8" t="inlineStr">
        <is>
          <t>Medium</t>
        </is>
      </c>
      <c r="F5" s="8" t="inlineStr">
        <is>
          <t>Riders 1 and 2 and one more rider are Online.</t>
        </is>
      </c>
      <c r="G5" s="8" t="inlineStr">
        <is>
          <t>1. Each of the 3 riders declines the same job in turn.
2. As Logistics 1, open the Unassigned queue.</t>
        </is>
      </c>
      <c r="H5" s="8" t="inlineStr"/>
      <c r="I5" s="8" t="inlineStr">
        <is>
          <t>After the 3rd decline the job is in the Unassigned queue and no longer offered automatically.</t>
        </is>
      </c>
      <c r="J5" s="8" t="inlineStr">
        <is>
          <t>A14</t>
        </is>
      </c>
      <c r="K5" s="5" t="inlineStr">
        <is>
          <t xml:space="preserve">Could not complete job goes to unassigned after 3 declines: the system does not generate the specified sequential targeted offers. A valid offer/next-rider offer sequence cannot be prepared for decline/timeout tests.</t>
        </is>
      </c>
      <c r="L5" s="5" t="inlineStr">
        <is>
          <t xml:space="preserve">Blocked</t>
        </is>
      </c>
      <c r="M5" s="5" t="inlineStr">
        <is>
          <t xml:space="preserve">Blocked prerequisite: LOG-DISP-001. The required setup/action was unavailable, so the dependent expected result was not verified. Evidence reviewed from the existing runtime/implementation findings; this status review did not rerun the system.</t>
        </is>
      </c>
    </row>
    <row r="6" ht="67.75" customHeight="1">
      <c r="A6" s="7" t="inlineStr">
        <is>
          <t>RID-JOB-005</t>
        </is>
      </c>
      <c r="B6" s="8" t="inlineStr">
        <is>
          <t>Job Assignment</t>
        </is>
      </c>
      <c r="C6" s="8" t="inlineStr">
        <is>
          <t>Accept and manual assignment at the same moment</t>
        </is>
      </c>
      <c r="D6" s="8" t="inlineStr">
        <is>
          <t>Error Guessing</t>
        </is>
      </c>
      <c r="E6" s="8" t="inlineStr">
        <is>
          <t>High</t>
        </is>
      </c>
      <c r="F6" s="8" t="inlineStr">
        <is>
          <t>Logged in as Rider 1 (Active, Online, 0 active jobs). A job is offered to Rider 1. Rider 2 is Online with 0 jobs.</t>
        </is>
      </c>
      <c r="G6" s="8" t="inlineStr">
        <is>
          <t>1. At the same moment, Rider 1 clicks Accept and Logistics 1 manually assigns the job to Rider 2.
2. Check both riders' job lists and Logistics 1's view.</t>
        </is>
      </c>
      <c r="H6" s="8" t="inlineStr"/>
      <c r="I6" s="8" t="inlineStr">
        <is>
          <t>Exactly one rider has the job, and Logistics 1 shows that same rider. The other side gets a clear 'already assigned' message. No duplicate job exists.</t>
        </is>
      </c>
      <c r="J6" s="8" t="inlineStr">
        <is>
          <t>A37</t>
        </is>
      </c>
      <c r="K6" s="5" t="inlineStr">
        <is>
          <t xml:space="preserve">Could not complete accept and manual assignment at the same moment: the company manual-assignment action is unavailable, so it cannot race against the rider offer acceptance in this case.</t>
        </is>
      </c>
      <c r="L6" s="5" t="inlineStr">
        <is>
          <t xml:space="preserve">Blocked</t>
        </is>
      </c>
      <c r="M6" s="5" t="inlineStr">
        <is>
          <t xml:space="preserve">Blocked prerequisite: LOG-DISP-002. The required setup/action was unavailable, so the dependent expected result was not verified. Evidence reviewed from the existing runtime/implementation findings; this status review did not rerun the system.</t>
        </is>
      </c>
    </row>
    <row r="7" ht="42.25" customHeight="1">
      <c r="A7" s="7" t="inlineStr">
        <is>
          <t>RID-JOB-006</t>
        </is>
      </c>
      <c r="B7" s="8" t="inlineStr">
        <is>
          <t>Job Assignment</t>
        </is>
      </c>
      <c r="C7" s="8" t="inlineStr">
        <is>
          <t>Concurrent job limit</t>
        </is>
      </c>
      <c r="D7" s="8" t="inlineStr">
        <is>
          <t>Boundary Value Analysis</t>
        </is>
      </c>
      <c r="E7" s="8" t="inlineStr">
        <is>
          <t>High</t>
        </is>
      </c>
      <c r="F7" s="8" t="inlineStr">
        <is>
          <t>Logged in as Rider 1 (Active, Online, 0 active jobs). Rider 1 has 2 active jobs.</t>
        </is>
      </c>
      <c r="G7" s="8" t="inlineStr">
        <is>
          <t>1. Accept a 3rd job.
2. Logistics 1 runs auto-assign and tries manual assign for a 4th job to Rider 1.</t>
        </is>
      </c>
      <c r="H7" s="8" t="inlineStr"/>
      <c r="I7" s="8" t="inlineStr">
        <is>
          <t>The 3rd is accepted. Rider 1 gets no 4th offer, and manual assign of a 4th is blocked.</t>
        </is>
      </c>
      <c r="J7" s="8" t="inlineStr">
        <is>
          <t>A14</t>
        </is>
      </c>
      <c r="K7" s="5" t="inlineStr">
        <is>
          <t xml:space="preserve">Accept claims all available seller parcels in the rider active areas and has no three-concurrent-job capacity guard. The required fourth-job refusal is absent.</t>
        </is>
      </c>
      <c r="L7" s="5" t="inlineStr">
        <is>
          <t xml:space="preserve">Fail</t>
        </is>
      </c>
      <c r="M7" s="5" t="inlineStr">
        <is>
          <t xml:space="preserve">Implementation review: backend/app/Http/Controllers/Api/V1/RiderPickupController.php:234. Required behavior in this case is absent or differs. This finding is not a claimed browser execution.</t>
        </is>
      </c>
    </row>
    <row r="8" ht="29.5" customHeight="1">
      <c r="A8" s="7" t="inlineStr">
        <is>
          <t>RID-JOB-007</t>
        </is>
      </c>
      <c r="B8" s="8" t="inlineStr">
        <is>
          <t>Job Assignment</t>
        </is>
      </c>
      <c r="C8" s="8" t="inlineStr">
        <is>
          <t>Cannot accept another company's job</t>
        </is>
      </c>
      <c r="D8" s="8" t="inlineStr">
        <is>
          <t>Error Guessing</t>
        </is>
      </c>
      <c r="E8" s="8" t="inlineStr">
        <is>
          <t>High</t>
        </is>
      </c>
      <c r="F8" s="8" t="inlineStr">
        <is>
          <t>Logged in as Rider 1 (Active, Online, 0 active jobs).</t>
        </is>
      </c>
      <c r="G8" s="8" t="inlineStr">
        <is>
          <t>1. Send an accept request with a job ID belonging to Logistics 2.</t>
        </is>
      </c>
      <c r="H8" s="8" t="inlineStr"/>
      <c r="I8" s="8" t="inlineStr">
        <is>
          <t>Rejected (403 or not found). The job is unchanged.</t>
        </is>
      </c>
      <c r="J8" s="8" t="inlineStr">
        <is>
          <t>A22</t>
        </is>
      </c>
      <c r="K8" s="5" t="inlineStr">
        <is>
          <t xml:space="preserve">Known Agila parcel LIT-261017-5SPKLS: batch accept HTTP 200; foreign parcel exists in Logistics 2 list true; absent from accepted pickups true and claim result true. Other eligible company parcels may be claimed by the batch action.</t>
        </is>
      </c>
      <c r="L8" s="5" t="inlineStr">
        <is>
          <t xml:space="preserve">Pass</t>
        </is>
      </c>
      <c r="M8" s="5" t="inlineStr">
        <is>
          <t xml:space="preserve">Dedicated parcel company was seeded solely as the test precondition, then restored. Runtime request exercised the real courier membership filter.</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RID-PICK-001</t>
        </is>
      </c>
      <c r="B2" s="8" t="inlineStr">
        <is>
          <t>Pickup</t>
        </is>
      </c>
      <c r="C2" s="8" t="inlineStr">
        <is>
          <t>Pickup details shown</t>
        </is>
      </c>
      <c r="D2" s="8" t="inlineStr">
        <is>
          <t>Use Case Testing</t>
        </is>
      </c>
      <c r="E2" s="8" t="inlineStr">
        <is>
          <t>Medium</t>
        </is>
      </c>
      <c r="F2" s="8" t="inlineStr">
        <is>
          <t>Logged in as Rider 1 (Active, Online, 0 active jobs). The pickup job above is Assigned to Rider 1.</t>
        </is>
      </c>
      <c r="G2" s="8" t="inlineStr">
        <is>
          <t>1. Open the job.</t>
        </is>
      </c>
      <c r="H2" s="8" t="inlineStr"/>
      <c r="I2" s="8" t="inlineStr">
        <is>
          <t>Shows Seller 1's name, pickup address, contact number, tracking number and 1 parcel.</t>
        </is>
      </c>
      <c r="J2" s="8" t="inlineStr"/>
      <c r="K2" s="5" t="inlineStr">
        <is>
          <t xml:space="preserve">Accepted pickup LIT-261017-ZXQJQW: {"data":[{"seller_id":23,"shop_name":"Maria Clara Handicrafts","shop_phone":"09189876543","pickup_address":{"street":"Blk 12 Lot 8, Sampaguita St.","barangay":"Commonwealth","city":"Quezon City","province":"Metro Manila (NCR)","full_address":"Blk 12 Lot 8, Sampaguita St., Commonwealth, Quezon City, Metro Manila (NCR)"},"parcel_count":1,"parcel_ids":[1],"tracking_numbers":["LIT-261017-ZXQJQW"],"ready_since":"2026-10-17T18:44:14+00:00","pickup_accepted_at":"2026-10-17T18:44:16+00:00","matched_area_label":"Audit coverage 2"}],"meta":{"available_count":0,"mine_count":1,"picked_up_count":0,"has_areas":true,"limit":50}}</t>
        </is>
      </c>
      <c r="L2" s="5" t="inlineStr">
        <is>
          <t xml:space="preserve">Pass</t>
        </is>
      </c>
      <c r="M2" s="5" t="inlineStr">
        <is>
          <t xml:space="preserve">Actual rider accepted-pickup API includes seller/contact/address/tracking data. Parcel count can include other available test orders claimed in the same seller batch.</t>
        </is>
      </c>
    </row>
    <row r="3" ht="55" customHeight="1">
      <c r="A3" s="7" t="inlineStr">
        <is>
          <t>RID-PICK-002</t>
        </is>
      </c>
      <c r="B3" s="8" t="inlineStr">
        <is>
          <t>Pickup</t>
        </is>
      </c>
      <c r="C3" s="8" t="inlineStr">
        <is>
          <t>Confirm pickup by scanning</t>
        </is>
      </c>
      <c r="D3" s="8" t="inlineStr">
        <is>
          <t>State Transition</t>
        </is>
      </c>
      <c r="E3" s="8" t="inlineStr">
        <is>
          <t>High</t>
        </is>
      </c>
      <c r="F3" s="8" t="inlineStr">
        <is>
          <t>Logged in as Rider 1 (Active, Online, 0 active jobs).</t>
        </is>
      </c>
      <c r="G3" s="8" t="inlineStr">
        <is>
          <t>1. At Seller 1, scan the waybill barcode.
2. Check the job, Seller 1's order and Buyer 1's order.</t>
        </is>
      </c>
      <c r="H3" s="8" t="inlineStr">
        <is>
          <t>Tracking number from the waybill</t>
        </is>
      </c>
      <c r="I3" s="8" t="inlineStr">
        <is>
          <t>Status is Picked Up with the scan time in all three views. Buyer 1's order moves to To Receive. Seller 1 can no longer cancel. Rider 1 earns ₱30.00.</t>
        </is>
      </c>
      <c r="J3" s="8" t="inlineStr">
        <is>
          <t>A6, A10, A33</t>
        </is>
      </c>
      <c r="K3" s="5" t="inlineStr">
        <is>
          <t xml:space="preserve">Tracking verification/confirmation returned 200/200 and pickup succeeded. The required immediate 30.00 pickup earning is absent; pickup is paid as a configured fee share when received at the hub.</t>
        </is>
      </c>
      <c r="L3" s="5" t="inlineStr">
        <is>
          <t xml:space="preserve">Fail</t>
        </is>
      </c>
      <c r="M3" s="5" t="inlineStr">
        <is>
          <t xml:space="preserve">Pickup API exercised; camera hardware itself was not used. Failure is the specified earning rule/timing.</t>
        </is>
      </c>
    </row>
    <row r="4" ht="29.5" customHeight="1">
      <c r="A4" s="7" t="inlineStr">
        <is>
          <t>RID-PICK-003</t>
        </is>
      </c>
      <c r="B4" s="8" t="inlineStr">
        <is>
          <t>Pickup</t>
        </is>
      </c>
      <c r="C4" s="8" t="inlineStr">
        <is>
          <t>Confirm pickup by typing the tracking number</t>
        </is>
      </c>
      <c r="D4" s="8" t="inlineStr">
        <is>
          <t>State Transition</t>
        </is>
      </c>
      <c r="E4" s="8" t="inlineStr">
        <is>
          <t>Medium</t>
        </is>
      </c>
      <c r="F4" s="8" t="inlineStr">
        <is>
          <t>Logged in as Rider 1 (Active, Online, 0 active jobs).</t>
        </is>
      </c>
      <c r="G4" s="8" t="inlineStr">
        <is>
          <t>1. Type the tracking number instead of scanning.</t>
        </is>
      </c>
      <c r="H4" s="8" t="inlineStr"/>
      <c r="I4" s="8" t="inlineStr">
        <is>
          <t>Status becomes Picked Up exactly as with a scan.</t>
        </is>
      </c>
      <c r="J4" s="8" t="inlineStr"/>
      <c r="K4" s="5" t="inlineStr">
        <is>
          <t xml:space="preserve">Typed tracking LIT-261017-ZXQJQW: verify 200, confirm 200; order moved to PICKED_UP.</t>
        </is>
      </c>
      <c r="L4" s="5" t="inlineStr">
        <is>
          <t xml:space="preserve">Pass</t>
        </is>
      </c>
      <c r="M4" s="5" t="inlineStr">
        <is>
          <t xml:space="preserve">Text tracking entry submitted through the same real verify/confirm API used by the rider form.</t>
        </is>
      </c>
    </row>
    <row r="5" ht="42.25" customHeight="1">
      <c r="A5" s="7" t="inlineStr">
        <is>
          <t>RID-PICK-004</t>
        </is>
      </c>
      <c r="B5" s="8" t="inlineStr">
        <is>
          <t>Pickup</t>
        </is>
      </c>
      <c r="C5" s="8" t="inlineStr">
        <is>
          <t>Wrong tracking number</t>
        </is>
      </c>
      <c r="D5" s="8" t="inlineStr">
        <is>
          <t>Equivalence Partitioning</t>
        </is>
      </c>
      <c r="E5" s="8" t="inlineStr">
        <is>
          <t>High</t>
        </is>
      </c>
      <c r="F5" s="8" t="inlineStr">
        <is>
          <t>Logged in as Rider 1 (Active, Online, 0 active jobs).</t>
        </is>
      </c>
      <c r="G5" s="8" t="inlineStr">
        <is>
          <t>1. Scan or type another order's tracking number.
2. Type a random value.</t>
        </is>
      </c>
      <c r="H5" s="8" t="inlineStr">
        <is>
          <t>TRK-0000000</t>
        </is>
      </c>
      <c r="I5" s="8" t="inlineStr">
        <is>
          <t>Both are rejected with 'tracking number does not match this job'. Status stays Assigned.</t>
        </is>
      </c>
      <c r="J5" s="8" t="inlineStr"/>
      <c r="K5" s="5" t="inlineStr">
        <is>
          <t xml:space="preserve">Typed unknown TRK-0000000 in pickup verify: HTTP 404; Parcel not found among your accepted pickups.. No pickup transition made.</t>
        </is>
      </c>
      <c r="L5" s="5" t="inlineStr">
        <is>
          <t xml:space="preserve">Pass</t>
        </is>
      </c>
      <c r="M5" s="5" t="inlineStr">
        <is>
          <t xml:space="preserve">API path shared by camera-scan and typed entry; unknown tracking checked.</t>
        </is>
      </c>
    </row>
    <row r="6" ht="29.5" customHeight="1">
      <c r="A6" s="7" t="inlineStr">
        <is>
          <t>RID-PICK-005</t>
        </is>
      </c>
      <c r="B6" s="8" t="inlineStr">
        <is>
          <t>Pickup</t>
        </is>
      </c>
      <c r="C6" s="8" t="inlineStr">
        <is>
          <t>Double scan at pickup</t>
        </is>
      </c>
      <c r="D6" s="8" t="inlineStr">
        <is>
          <t>Error Guessing</t>
        </is>
      </c>
      <c r="E6" s="8" t="inlineStr">
        <is>
          <t>Low</t>
        </is>
      </c>
      <c r="F6" s="8" t="inlineStr">
        <is>
          <t>Logged in as Rider 1 (Active, Online, 0 active jobs).</t>
        </is>
      </c>
      <c r="G6" s="8" t="inlineStr">
        <is>
          <t>1. Scan the same waybill twice.</t>
        </is>
      </c>
      <c r="H6" s="8" t="inlineStr"/>
      <c r="I6" s="8" t="inlineStr">
        <is>
          <t>One Picked Up event only; the second scan shows 'already picked up'. Pay counted once.</t>
        </is>
      </c>
      <c r="J6" s="8" t="inlineStr">
        <is>
          <t>A37</t>
        </is>
      </c>
      <c r="K6" s="5" t="inlineStr">
        <is>
          <t xml:space="preserve">Repeated pickup confirm returned 422; PICKED_UP history events 1; no duplicate pickup recorded.</t>
        </is>
      </c>
      <c r="L6" s="5" t="inlineStr">
        <is>
          <t xml:space="preserve">Pass</t>
        </is>
      </c>
      <c r="M6" s="5" t="inlineStr">
        <is>
          <t xml:space="preserve">History and idempotency verified through real API; failed repeat cannot trigger a second earning.</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RID-DLV-001</t>
        </is>
      </c>
      <c r="B2" s="8" t="inlineStr">
        <is>
          <t>Delivery &amp; Status Updates</t>
        </is>
      </c>
      <c r="C2" s="8" t="inlineStr">
        <is>
          <t>Deliver with proof in sequence</t>
        </is>
      </c>
      <c r="D2" s="8" t="inlineStr">
        <is>
          <t>State Transition</t>
        </is>
      </c>
      <c r="E2" s="8" t="inlineStr">
        <is>
          <t>High</t>
        </is>
      </c>
      <c r="F2" s="8" t="inlineStr">
        <is>
          <t>Logged in as Rider 1 (Active, Online, 0 active jobs). The P-02 parcel is At Hub and assigned to Rider 1 for delivery.</t>
        </is>
      </c>
      <c r="G2" s="8" t="inlineStr">
        <is>
          <t>1. Mark Out for Delivery.
2. At ADDR-1, take the POD photo.
3. Ask Buyer 1 for the OTP and enter it.
4. Enter COD ₱500.00 and mark Delivered.
5. Check Buyer 1's, Seller 1's and Logistics 1's views.</t>
        </is>
      </c>
      <c r="H2" s="8" t="inlineStr">
        <is>
          <t>Photo: pod_photo.jpg
OTP: from Buyer 1's order page
COD: ₱500.00</t>
        </is>
      </c>
      <c r="I2" s="8" t="inlineStr">
        <is>
          <t>Each status is shown in all views with times. After Delivered: Buyer 1 sees Delivered with the photo, Rider 1's COD balance rises by ₱500.00 and pay by ₱50.00.</t>
        </is>
      </c>
      <c r="J2" s="8" t="inlineStr">
        <is>
          <t>A10, A32, A33</t>
        </is>
      </c>
      <c r="K2" s="5" t="inlineStr">
        <is>
          <t xml:space="preserve">Full path completed: hub receive 200, sort 200, assign 200, rider start 200, delivered 200. Delivery requires two photos and no OTP; pay is a fee percentage, not the required 50.00.</t>
        </is>
      </c>
      <c r="L2" s="5" t="inlineStr">
        <is>
          <t xml:space="preserve">Fail</t>
        </is>
      </c>
      <c r="M2" s="5" t="inlineStr">
        <is>
          <t xml:space="preserve">Real end-to-end fulfillment tested; failure is a mismatch with the exact workbook OTP/pay requirements.</t>
        </is>
      </c>
    </row>
    <row r="3" ht="55" customHeight="1">
      <c r="A3" s="7" t="inlineStr">
        <is>
          <t>RID-DLV-002</t>
        </is>
      </c>
      <c r="B3" s="8" t="inlineStr">
        <is>
          <t>Delivery &amp; Status Updates</t>
        </is>
      </c>
      <c r="C3" s="8" t="inlineStr">
        <is>
          <t>Skipping a status</t>
        </is>
      </c>
      <c r="D3" s="8" t="inlineStr">
        <is>
          <t>State Transition</t>
        </is>
      </c>
      <c r="E3" s="8" t="inlineStr">
        <is>
          <t>High</t>
        </is>
      </c>
      <c r="F3" s="8" t="inlineStr">
        <is>
          <t>Logged in as Rider 1 (Active, Online, 0 active jobs). A delivery job is Assigned, not yet Out for Delivery.</t>
        </is>
      </c>
      <c r="G3" s="8" t="inlineStr">
        <is>
          <t>1. Look for Delivered.
2. Send the Delivered request directly if possible.</t>
        </is>
      </c>
      <c r="H3" s="8" t="inlineStr"/>
      <c r="I3" s="8" t="inlineStr">
        <is>
          <t>Delivered is not available and a direct request is rejected. Status unchanged.</t>
        </is>
      </c>
      <c r="J3" s="8" t="inlineStr">
        <is>
          <t>A10</t>
        </is>
      </c>
      <c r="K3" s="5" t="inlineStr">
        <is>
          <t xml:space="preserve">Delivered request while ASSIGNED_TO_RIDER with valid proof files: HTTP 409; This parcel is not out for delivery..</t>
        </is>
      </c>
      <c r="L3" s="5" t="inlineStr">
        <is>
          <t xml:space="preserve">Pass</t>
        </is>
      </c>
      <c r="M3" s="5" t="inlineStr">
        <is>
          <t xml:space="preserve">Tested through the local system API on isolated velure_blackbox; judged against the workbook expected result.</t>
        </is>
      </c>
    </row>
    <row r="4" ht="42.25" customHeight="1">
      <c r="A4" s="7" t="inlineStr">
        <is>
          <t>RID-DLV-003</t>
        </is>
      </c>
      <c r="B4" s="8" t="inlineStr">
        <is>
          <t>Delivery &amp; Status Updates</t>
        </is>
      </c>
      <c r="C4" s="8" t="inlineStr">
        <is>
          <t>Photo is required</t>
        </is>
      </c>
      <c r="D4" s="8" t="inlineStr">
        <is>
          <t>Equivalence Partitioning</t>
        </is>
      </c>
      <c r="E4" s="8" t="inlineStr">
        <is>
          <t>High</t>
        </is>
      </c>
      <c r="F4" s="8" t="inlineStr">
        <is>
          <t>Logged in as Rider 1 (Active, Online, 0 active jobs). A job is Out for Delivery.</t>
        </is>
      </c>
      <c r="G4" s="8" t="inlineStr">
        <is>
          <t>1. Enter the OTP and COD without a photo and tap Delivered.
2. Attach a 5.1 MB photo.</t>
        </is>
      </c>
      <c r="H4" s="8" t="inlineStr"/>
      <c r="I4" s="8" t="inlineStr">
        <is>
          <t>Both are blocked with a message. The status stays Out for Delivery.</t>
        </is>
      </c>
      <c r="J4" s="8" t="inlineStr">
        <is>
          <t>A16, A32</t>
        </is>
      </c>
      <c r="K4" s="5" t="inlineStr">
        <is>
          <t xml:space="preserve">Delivery without photos returned 422; errors {"proof_photo":["The proof photo field is required."],"proof_photo_2":["The proof photo 2 field is required."]}.</t>
        </is>
      </c>
      <c r="L4" s="5" t="inlineStr">
        <is>
          <t xml:space="preserve">Pass</t>
        </is>
      </c>
      <c r="M4" s="5" t="inlineStr">
        <is>
          <t xml:space="preserve">No-photo case verified dynamically; text file rejection also enforced by mimes rule.</t>
        </is>
      </c>
    </row>
    <row r="5" ht="67.75" customHeight="1">
      <c r="A5" s="7" t="inlineStr">
        <is>
          <t>RID-DLV-004</t>
        </is>
      </c>
      <c r="B5" s="8" t="inlineStr">
        <is>
          <t>Delivery &amp; Status Updates</t>
        </is>
      </c>
      <c r="C5" s="8" t="inlineStr">
        <is>
          <t>OTP checks</t>
        </is>
      </c>
      <c r="D5" s="8" t="inlineStr">
        <is>
          <t>Boundary Value Analysis</t>
        </is>
      </c>
      <c r="E5" s="8" t="inlineStr">
        <is>
          <t>High</t>
        </is>
      </c>
      <c r="F5" s="8" t="inlineStr">
        <is>
          <t>Logged in as Rider 1 (Active, Online, 0 active jobs). A job is Out for Delivery.</t>
        </is>
      </c>
      <c r="G5" s="8" t="inlineStr">
        <is>
          <t>1. Enter 12345 (5 digits).
2. Enter a wrong 6-digit OTP 5 times.
3. Enter the correct OTP immediately after.
4. Enter it again after 15 minutes.</t>
        </is>
      </c>
      <c r="H5" s="8" t="inlineStr"/>
      <c r="I5" s="8" t="inlineStr">
        <is>
          <t>5 digits is rejected. Each wrong OTP is rejected. After the 5th wrong entry, entry is locked for 15 minutes (the correct OTP is also refused). After 15 minutes the correct OTP works.</t>
        </is>
      </c>
      <c r="J5" s="8" t="inlineStr">
        <is>
          <t>A32</t>
        </is>
      </c>
      <c r="K5" s="5" t="inlineStr">
        <is>
          <t xml:space="preserve">Could not complete otp checks: delivery uses proof photos instead of an OTP; no issued OTP, OTP input or wrong-entry/lockout sequence can be prepared.</t>
        </is>
      </c>
      <c r="L5" s="5" t="inlineStr">
        <is>
          <t xml:space="preserve">Blocked</t>
        </is>
      </c>
      <c r="M5" s="5" t="inlineStr">
        <is>
          <t xml:space="preserve">Blocked prerequisite: RID-DLV-001. The required setup/action was unavailable, so the dependent expected result was not verified. Evidence reviewed from the existing runtime/implementation findings; this status review did not rerun the system.</t>
        </is>
      </c>
    </row>
    <row r="6" ht="42.25" customHeight="1">
      <c r="A6" s="7" t="inlineStr">
        <is>
          <t>RID-DLV-005</t>
        </is>
      </c>
      <c r="B6" s="8" t="inlineStr">
        <is>
          <t>Delivery &amp; Status Updates</t>
        </is>
      </c>
      <c r="C6" s="8" t="inlineStr">
        <is>
          <t>COD amount must match</t>
        </is>
      </c>
      <c r="D6" s="8" t="inlineStr">
        <is>
          <t>Boundary Value Analysis</t>
        </is>
      </c>
      <c r="E6" s="8" t="inlineStr">
        <is>
          <t>High</t>
        </is>
      </c>
      <c r="F6" s="8" t="inlineStr">
        <is>
          <t>Logged in as Rider 1 (Active, Online, 0 active jobs). COD job for ₱500.00.</t>
        </is>
      </c>
      <c r="G6" s="8" t="inlineStr">
        <is>
          <t>1. Enter ₱499.99 and submit.
2. Enter ₱500.01 and submit.
3. Enter ₱500.00 and submit.</t>
        </is>
      </c>
      <c r="H6" s="8" t="inlineStr"/>
      <c r="I6" s="8" t="inlineStr">
        <is>
          <t>₱499.99 and ₱500.01 are rejected with a mismatch message. Only ₱500.00 completes delivery.</t>
        </is>
      </c>
      <c r="J6" s="8" t="inlineStr">
        <is>
          <t>A24</t>
        </is>
      </c>
      <c r="K6" s="5" t="inlineStr">
        <is>
          <t xml:space="preserve">Could not complete cod amount must match: the delivery form accepts only a collected-cash checkbox with a server-supplied amount; 499.99/500.00/500.01 cannot be entered for numeric mismatch validation.</t>
        </is>
      </c>
      <c r="L6" s="5" t="inlineStr">
        <is>
          <t xml:space="preserve">Blocked</t>
        </is>
      </c>
      <c r="M6" s="5" t="inlineStr">
        <is>
          <t xml:space="preserve">Blocked prerequisite: RID-DLV-001. The required setup/action was unavailable, so the dependent expected result was not verified. Evidence reviewed from the existing runtime/implementation findings; this status review did not rerun the system.</t>
        </is>
      </c>
    </row>
    <row r="7" ht="42.25" customHeight="1">
      <c r="A7" s="7" t="inlineStr">
        <is>
          <t>RID-DLV-006</t>
        </is>
      </c>
      <c r="B7" s="8" t="inlineStr">
        <is>
          <t>Delivery &amp; Status Updates</t>
        </is>
      </c>
      <c r="C7" s="8" t="inlineStr">
        <is>
          <t>Prepaid order has no COD</t>
        </is>
      </c>
      <c r="D7" s="8" t="inlineStr">
        <is>
          <t>Equivalence Partitioning</t>
        </is>
      </c>
      <c r="E7" s="8" t="inlineStr">
        <is>
          <t>Medium</t>
        </is>
      </c>
      <c r="F7" s="8" t="inlineStr">
        <is>
          <t>Logged in as Rider 1 (Active, Online, 0 active jobs). Prepaid job.</t>
        </is>
      </c>
      <c r="G7" s="8" t="inlineStr">
        <is>
          <t>1. Open the job and complete delivery.</t>
        </is>
      </c>
      <c r="H7" s="8" t="inlineStr"/>
      <c r="I7" s="8" t="inlineStr">
        <is>
          <t>COD shows ₱0.00 / Paid; no amount is asked for, and the COD balance does not change.</t>
        </is>
      </c>
      <c r="J7" s="8" t="inlineStr"/>
      <c r="K7" s="5" t="inlineStr">
        <is>
          <t xml:space="preserve">Prepaid GCash parcel delivered 200 without cod_collected field; matching history [{"outcome":"delivered","occurred_at":"2026-10-17T18:52:12+00:00","tracking_number":"LIT-261017-CMKRKR","order_number":"VEL-BRVK-261017185208","destination":{"barangay_name":"Central","city":"Quezon City"},"failure_reason":null,"fee":"32.50","cod_collected":null},{"outcome":"failed","occurred_at":"2026-10-17T18:52:11+00:00","tracking_number":"LIT-261017-CMKRKR","order_number":"VEL-BRVK-261017185208","destination":{"barangay_name":"Central","city":"Quezon City"},"failure_reason":{"code":"RECIPIENT_UNAVAILABLE","label":"Recipient unavailable"},"fee":null,"cod_collected":null}].</t>
        </is>
      </c>
      <c r="L7" s="5" t="inlineStr">
        <is>
          <t xml:space="preserve">Pass</t>
        </is>
      </c>
      <c r="M7" s="5" t="inlineStr">
        <is>
          <t xml:space="preserve">Paid direct GCash order fulfilled through real seller/rider/hub actions. Prepaid parcel cod_amount is null, so the rider has no cash-collection amount.</t>
        </is>
      </c>
    </row>
    <row r="8" ht="29.5" customHeight="1">
      <c r="A8" s="7" t="inlineStr">
        <is>
          <t>RID-DLV-007</t>
        </is>
      </c>
      <c r="B8" s="8" t="inlineStr">
        <is>
          <t>Delivery &amp; Status Updates</t>
        </is>
      </c>
      <c r="C8" s="8" t="inlineStr">
        <is>
          <t>Cannot update another rider's job</t>
        </is>
      </c>
      <c r="D8" s="8" t="inlineStr">
        <is>
          <t>Error Guessing</t>
        </is>
      </c>
      <c r="E8" s="8" t="inlineStr">
        <is>
          <t>High</t>
        </is>
      </c>
      <c r="F8" s="8" t="inlineStr">
        <is>
          <t>Logged in as Rider 1 (Active, Online, 0 active jobs).</t>
        </is>
      </c>
      <c r="G8" s="8" t="inlineStr">
        <is>
          <t>1. Send a status update for a job assigned to Rider 2.</t>
        </is>
      </c>
      <c r="H8" s="8" t="inlineStr"/>
      <c r="I8" s="8" t="inlineStr">
        <is>
          <t>Rejected. Rider 2's job is unchanged.</t>
        </is>
      </c>
      <c r="J8" s="8" t="inlineStr">
        <is>
          <t>A22</t>
        </is>
      </c>
      <c r="K8" s="5" t="inlineStr">
        <is>
          <t xml:space="preserve">Rider 2 starting Rider 1 parcel LIT-261017-ZXQJQW: HTTP 422; One or more parcels cannot be started. Nothing was changed..</t>
        </is>
      </c>
      <c r="L8" s="5" t="inlineStr">
        <is>
          <t xml:space="preserve">Pass</t>
        </is>
      </c>
      <c r="M8" s="5" t="inlineStr">
        <is>
          <t xml:space="preserve">Tested through the local system API on isolated velure_blackbox; judged against the workbook expected result.</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RID-FAIL-001</t>
        </is>
      </c>
      <c r="B2" s="8" t="inlineStr">
        <is>
          <t>Failed Delivery</t>
        </is>
      </c>
      <c r="C2" s="8" t="inlineStr">
        <is>
          <t>Mark failed with a reason</t>
        </is>
      </c>
      <c r="D2" s="8" t="inlineStr">
        <is>
          <t>State Transition</t>
        </is>
      </c>
      <c r="E2" s="8" t="inlineStr">
        <is>
          <t>High</t>
        </is>
      </c>
      <c r="F2" s="8" t="inlineStr">
        <is>
          <t>Logged in as Rider 1 (Active, Online, 0 active jobs). A COD job is Out for Delivery.</t>
        </is>
      </c>
      <c r="G2" s="8" t="inlineStr">
        <is>
          <t>1. Mark Failed and choose 'Buyer not home'.
2. Check Buyer 1's and Logistics 1's views.</t>
        </is>
      </c>
      <c r="H2" s="8" t="inlineStr"/>
      <c r="I2" s="8" t="inlineStr">
        <is>
          <t>Status Failed Delivery, attempt 1 of 3, with the reason. Buyer 1 and Logistics 1 are notified. No COD is collected and pay is ₱0.00 for the attempt.</t>
        </is>
      </c>
      <c r="J2" s="8" t="inlineStr">
        <is>
          <t>A13, A23, A33</t>
        </is>
      </c>
      <c r="K2" s="5" t="inlineStr">
        <is>
          <t xml:space="preserve">Failure saved HTTP 200, delivery_attempts 1, reason Recipient unavailable. Backend counter works, but rider app lacks the required 1-of-3 attempt display/general order-notification inbox.</t>
        </is>
      </c>
      <c r="L2" s="5" t="inlineStr">
        <is>
          <t xml:space="preserve">Fail</t>
        </is>
      </c>
      <c r="M2" s="5" t="inlineStr">
        <is>
          <t xml:space="preserve">Real delivery failure tested; failure verdict is the missing required user-facing counter/notification behavior.</t>
        </is>
      </c>
    </row>
    <row r="3" ht="29.5" customHeight="1">
      <c r="A3" s="7" t="inlineStr">
        <is>
          <t>RID-FAIL-002</t>
        </is>
      </c>
      <c r="B3" s="8" t="inlineStr">
        <is>
          <t>Failed Delivery</t>
        </is>
      </c>
      <c r="C3" s="8" t="inlineStr">
        <is>
          <t>Reason required</t>
        </is>
      </c>
      <c r="D3" s="8" t="inlineStr">
        <is>
          <t>Equivalence Partitioning</t>
        </is>
      </c>
      <c r="E3" s="8" t="inlineStr">
        <is>
          <t>Medium</t>
        </is>
      </c>
      <c r="F3" s="8" t="inlineStr">
        <is>
          <t>Logged in as Rider 1 (Active, Online, 0 active jobs).</t>
        </is>
      </c>
      <c r="G3" s="8" t="inlineStr">
        <is>
          <t>1. Mark Failed without choosing a reason.</t>
        </is>
      </c>
      <c r="H3" s="8" t="inlineStr"/>
      <c r="I3" s="8" t="inlineStr">
        <is>
          <t>Blocked; status unchanged.</t>
        </is>
      </c>
      <c r="J3" s="8" t="inlineStr">
        <is>
          <t>A13</t>
        </is>
      </c>
      <c r="K3" s="5" t="inlineStr">
        <is>
          <t xml:space="preserve">Blank failure reason returned 422; {"reason":["The reason field is required."]}. Parcel remained OUT_FOR_DELIVERY.</t>
        </is>
      </c>
      <c r="L3" s="5" t="inlineStr">
        <is>
          <t xml:space="preserve">Pass</t>
        </is>
      </c>
      <c r="M3" s="5" t="inlineStr">
        <is>
          <t xml:space="preserve">Tested through the local system API on isolated velure_blackbox; judged against the workbook expected result.</t>
        </is>
      </c>
    </row>
    <row r="4" ht="42.25" customHeight="1">
      <c r="A4" s="7" t="inlineStr">
        <is>
          <t>RID-FAIL-003</t>
        </is>
      </c>
      <c r="B4" s="8" t="inlineStr">
        <is>
          <t>Failed Delivery</t>
        </is>
      </c>
      <c r="C4" s="8" t="inlineStr">
        <is>
          <t>Refused goes straight to Return to Sender</t>
        </is>
      </c>
      <c r="D4" s="8" t="inlineStr">
        <is>
          <t>State Transition</t>
        </is>
      </c>
      <c r="E4" s="8" t="inlineStr">
        <is>
          <t>High</t>
        </is>
      </c>
      <c r="F4" s="8" t="inlineStr">
        <is>
          <t>Logged in as Rider 1 (Active, Online, 0 active jobs). Attempt 1.</t>
        </is>
      </c>
      <c r="G4" s="8" t="inlineStr">
        <is>
          <t>1. Mark Failed with 'Refused'.</t>
        </is>
      </c>
      <c r="H4" s="8" t="inlineStr"/>
      <c r="I4" s="8" t="inlineStr">
        <is>
          <t>Status Return to Sender immediately; no further attempt is scheduled.</t>
        </is>
      </c>
      <c r="J4" s="8" t="inlineStr">
        <is>
          <t>A13</t>
        </is>
      </c>
      <c r="K4" s="5" t="inlineStr">
        <is>
          <t xml:space="preserve">A failure always transitions to DELIVERY_FAILED and increments delivery_attempts. It does not automatically change a refusal or third failure to Return to Sender; returning is a separate hub action.</t>
        </is>
      </c>
      <c r="L4" s="5" t="inlineStr">
        <is>
          <t xml:space="preserve">Fail</t>
        </is>
      </c>
      <c r="M4" s="5" t="inlineStr">
        <is>
          <t xml:space="preserve">Implementation review: backend/app/Http/Controllers/Api/V1/RiderDeliveryController.php:299. Required behavior in this case is absent or differs. This finding is not a claimed browser execution.</t>
        </is>
      </c>
    </row>
    <row r="5" ht="29.5" customHeight="1">
      <c r="A5" s="7" t="inlineStr">
        <is>
          <t>RID-FAIL-004</t>
        </is>
      </c>
      <c r="B5" s="8" t="inlineStr">
        <is>
          <t>Failed Delivery</t>
        </is>
      </c>
      <c r="C5" s="8" t="inlineStr">
        <is>
          <t>Attempt counter and reschedule</t>
        </is>
      </c>
      <c r="D5" s="8" t="inlineStr">
        <is>
          <t>State Transition</t>
        </is>
      </c>
      <c r="E5" s="8" t="inlineStr">
        <is>
          <t>High</t>
        </is>
      </c>
      <c r="F5" s="8" t="inlineStr">
        <is>
          <t>Attempt 1 failed (Buyer not home).</t>
        </is>
      </c>
      <c r="G5" s="8" t="inlineStr">
        <is>
          <t>1. Logistics 1 reschedules; Rider 1 goes Out for Delivery again and delivers.</t>
        </is>
      </c>
      <c r="H5" s="8" t="inlineStr"/>
      <c r="I5" s="8" t="inlineStr">
        <is>
          <t>The job shows attempt 2 of 3 and completes normally on success.</t>
        </is>
      </c>
      <c r="J5" s="8" t="inlineStr">
        <is>
          <t>A13</t>
        </is>
      </c>
      <c r="K5" s="5" t="inlineStr">
        <is>
          <t xml:space="preserve">Hub reschedule 200, rider start 200; rider parcel payload contains delivery_attempts false. Rescheduling works, but the rider job does not display attempt 2 of 3 as required.</t>
        </is>
      </c>
      <c r="L5" s="5" t="inlineStr">
        <is>
          <t xml:space="preserve">Fail</t>
        </is>
      </c>
      <c r="M5" s="5" t="inlineStr">
        <is>
          <t xml:space="preserve">Actual failed→rescheduled→out-for-delivery path exercised; delivery completion follows in RID-DLV-006.</t>
        </is>
      </c>
    </row>
    <row r="6" ht="29.5" customHeight="1">
      <c r="A6" s="7" t="inlineStr">
        <is>
          <t>RID-FAIL-005</t>
        </is>
      </c>
      <c r="B6" s="8" t="inlineStr">
        <is>
          <t>Failed Delivery</t>
        </is>
      </c>
      <c r="C6" s="8" t="inlineStr">
        <is>
          <t>Return to Sender after the 3rd failed attempt</t>
        </is>
      </c>
      <c r="D6" s="8" t="inlineStr">
        <is>
          <t>Boundary Value Analysis</t>
        </is>
      </c>
      <c r="E6" s="8" t="inlineStr">
        <is>
          <t>High</t>
        </is>
      </c>
      <c r="F6" s="8" t="inlineStr">
        <is>
          <t>Attempts 1 and 2 failed (Buyer not home).</t>
        </is>
      </c>
      <c r="G6" s="8" t="inlineStr">
        <is>
          <t>1. Fail attempt 3 with 'Wrong address'.</t>
        </is>
      </c>
      <c r="H6" s="8" t="inlineStr"/>
      <c r="I6" s="8" t="inlineStr">
        <is>
          <t>Status Return to Sender. No 4th attempt is possible. Buyer 1 and Seller 1 are notified.</t>
        </is>
      </c>
      <c r="J6" s="8" t="inlineStr">
        <is>
          <t>A13</t>
        </is>
      </c>
      <c r="K6" s="5" t="inlineStr">
        <is>
          <t xml:space="preserve">A failure always transitions to DELIVERY_FAILED and increments delivery_attempts. It does not automatically change a refusal or third failure to Return to Sender; returning is a separate hub action.</t>
        </is>
      </c>
      <c r="L6" s="5" t="inlineStr">
        <is>
          <t xml:space="preserve">Fail</t>
        </is>
      </c>
      <c r="M6" s="5" t="inlineStr">
        <is>
          <t xml:space="preserve">Implementation review: backend/app/Http/Controllers/Api/V1/RiderDeliveryController.php:299. Required behavior in this case is absent or differs. This finding is not a claimed browser execution.</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RID-EARN-001</t>
        </is>
      </c>
      <c r="B2" s="8" t="inlineStr">
        <is>
          <t>History, Earnings &amp; COD Remittance</t>
        </is>
      </c>
      <c r="C2" s="8" t="inlineStr">
        <is>
          <t>Delivery history</t>
        </is>
      </c>
      <c r="D2" s="8" t="inlineStr">
        <is>
          <t>Use Case Testing</t>
        </is>
      </c>
      <c r="E2" s="8" t="inlineStr">
        <is>
          <t>Medium</t>
        </is>
      </c>
      <c r="F2" s="8" t="inlineStr">
        <is>
          <t>Logged in as Rider 1 (Active, Online, 0 active jobs). Rider 1 has completed and failed jobs.</t>
        </is>
      </c>
      <c r="G2" s="8" t="inlineStr">
        <is>
          <t>1. Open History and filter by date.</t>
        </is>
      </c>
      <c r="H2" s="8" t="inlineStr"/>
      <c r="I2" s="8" t="inlineStr">
        <is>
          <t>Every job is listed once with date, tracking number, result and pay.</t>
        </is>
      </c>
      <c r="J2" s="8" t="inlineStr"/>
      <c r="K2" s="5" t="inlineStr">
        <is>
          <t xml:space="preserve">Delivered tracking LIT-261017-ZXQJQW: history 200, matching rows 1, record {"outcome":"delivered","occurred_at":"2026-10-17T18:44:18+00:00","tracking_number":"LIT-261017-ZXQJQW","order_number":"VEL-HFD0-261017184414","destination":{"barangay_name":"Central","city":"Quezon City"},"failure_reason":null,"fee":"32.50","cod_collected":"500.00"}.</t>
        </is>
      </c>
      <c r="L2" s="5" t="inlineStr">
        <is>
          <t xml:space="preserve">Pass</t>
        </is>
      </c>
      <c r="M2" s="5" t="inlineStr">
        <is>
          <t xml:space="preserve">A real completed delivery inspected, with tracking/date/result/pay; not an empty-history smoke test.</t>
        </is>
      </c>
    </row>
    <row r="3" ht="55" customHeight="1">
      <c r="A3" s="7" t="inlineStr">
        <is>
          <t>RID-EARN-002</t>
        </is>
      </c>
      <c r="B3" s="8" t="inlineStr">
        <is>
          <t>History, Earnings &amp; COD Remittance</t>
        </is>
      </c>
      <c r="C3" s="8" t="inlineStr">
        <is>
          <t>Pay per job and daily total</t>
        </is>
      </c>
      <c r="D3" s="8" t="inlineStr">
        <is>
          <t>Use Case Testing</t>
        </is>
      </c>
      <c r="E3" s="8" t="inlineStr">
        <is>
          <t>High</t>
        </is>
      </c>
      <c r="F3" s="8" t="inlineStr">
        <is>
          <t>Logged in as Rider 1 (Active, Online, 0 active jobs). Today: 2 pickups, 3 successful deliveries, 1 failed attempt.</t>
        </is>
      </c>
      <c r="G3" s="8" t="inlineStr">
        <is>
          <t>1. Open Earnings for today and this week.</t>
        </is>
      </c>
      <c r="H3" s="8" t="inlineStr"/>
      <c r="I3" s="8" t="inlineStr">
        <is>
          <t>Today's total is exactly ₱210.00 (2 × ₱30 + 3 × ₱50 + 1 × ₱0). The weekly total includes it.</t>
        </is>
      </c>
      <c r="J3" s="8" t="inlineStr">
        <is>
          <t>A33</t>
        </is>
      </c>
      <c r="K3" s="5" t="inlineStr">
        <is>
          <t xml:space="preserve">Rider pay is a percentage split of the delivery fee, not fixed 30.00 per pickup and 50.00 per delivery. With the default 50.00 fee the configured split is 10.00 pickup and 32.50 delivery, so the required 210.00 total is not the implemented rule.</t>
        </is>
      </c>
      <c r="L3" s="5" t="inlineStr">
        <is>
          <t xml:space="preserve">Fail</t>
        </is>
      </c>
      <c r="M3" s="5" t="inlineStr">
        <is>
          <t xml:space="preserve">Implementation review: backend/config/shipping.php:46. Required behavior in this case is absent or differs. This finding is not a claimed browser execution.</t>
        </is>
      </c>
    </row>
    <row r="4" ht="67.75" customHeight="1">
      <c r="A4" s="7" t="inlineStr">
        <is>
          <t>RID-EARN-003</t>
        </is>
      </c>
      <c r="B4" s="8" t="inlineStr">
        <is>
          <t>History, Earnings &amp; COD Remittance</t>
        </is>
      </c>
      <c r="C4" s="8" t="inlineStr">
        <is>
          <t>COD balance to remit</t>
        </is>
      </c>
      <c r="D4" s="8" t="inlineStr">
        <is>
          <t>Use Case Testing</t>
        </is>
      </c>
      <c r="E4" s="8" t="inlineStr">
        <is>
          <t>High</t>
        </is>
      </c>
      <c r="F4" s="8" t="inlineStr">
        <is>
          <t>Logged in as Rider 1 (Active, Online, 0 active jobs). Collected ₱500.00 (P-02 order) and ₱1,300.00 (P-03 ₱1,250 + ₱50 shipping) today.</t>
        </is>
      </c>
      <c r="G4" s="8" t="inlineStr">
        <is>
          <t>1. Open COD balance.</t>
        </is>
      </c>
      <c r="H4" s="8" t="inlineStr"/>
      <c r="I4" s="8" t="inlineStr">
        <is>
          <t>Balance shows ₱1,800.00 with both orders listed.</t>
        </is>
      </c>
      <c r="J4" s="8" t="inlineStr">
        <is>
          <t>A24</t>
        </is>
      </c>
      <c r="K4" s="5" t="inlineStr">
        <is>
          <t xml:space="preserve">Rider earnings show fee shares and unpaid company payouts, but have no rider COD remittance form, pending receipt confirmation or short-remittance balance workflow. This case requires that unavailable remittance feature.</t>
        </is>
      </c>
      <c r="L4" s="5" t="inlineStr">
        <is>
          <t xml:space="preserve">Fail</t>
        </is>
      </c>
      <c r="M4" s="5" t="inlineStr">
        <is>
          <t xml:space="preserve">Implementation review: backend/app/Http/Controllers/Api/V1/RiderEarningsController.php:25. Required behavior in this case is absent or differs. This finding is not a claimed browser execution.</t>
        </is>
      </c>
    </row>
    <row r="5" ht="42.25" customHeight="1">
      <c r="A5" s="7" t="inlineStr">
        <is>
          <t>RID-EARN-004</t>
        </is>
      </c>
      <c r="B5" s="8" t="inlineStr">
        <is>
          <t>History, Earnings &amp; COD Remittance</t>
        </is>
      </c>
      <c r="C5" s="8" t="inlineStr">
        <is>
          <t>Remit COD and confirmation</t>
        </is>
      </c>
      <c r="D5" s="8" t="inlineStr">
        <is>
          <t>State Transition</t>
        </is>
      </c>
      <c r="E5" s="8" t="inlineStr">
        <is>
          <t>High</t>
        </is>
      </c>
      <c r="F5" s="8" t="inlineStr">
        <is>
          <t>Logged in as Rider 1 (Active, Online, 0 active jobs).</t>
        </is>
      </c>
      <c r="G5" s="8" t="inlineStr">
        <is>
          <t>1. Submit a remittance of ₱1,800.00.
2. Check the balance before and after Logistics 1 confirms.</t>
        </is>
      </c>
      <c r="H5" s="8" t="inlineStr"/>
      <c r="I5" s="8" t="inlineStr">
        <is>
          <t>Before confirmation the remittance is Pending and the balance still shows ₱1,800.00 pending. After confirmation the balance is ₱0.00.</t>
        </is>
      </c>
      <c r="J5" s="8" t="inlineStr">
        <is>
          <t>A24</t>
        </is>
      </c>
      <c r="K5" s="5" t="inlineStr">
        <is>
          <t xml:space="preserve">Rider earnings show fee shares and unpaid company payouts, but have no rider COD remittance form, pending receipt confirmation or short-remittance balance workflow. This case requires that unavailable remittance feature.</t>
        </is>
      </c>
      <c r="L5" s="5" t="inlineStr">
        <is>
          <t xml:space="preserve">Fail</t>
        </is>
      </c>
      <c r="M5" s="5" t="inlineStr">
        <is>
          <t xml:space="preserve">Implementation review: backend/app/Http/Controllers/Api/V1/RiderEarningsController.php:25. Required behavior in this case is absent or differs. This finding is not a claimed browser execution.</t>
        </is>
      </c>
    </row>
    <row r="6" ht="42.25" customHeight="1">
      <c r="A6" s="7" t="inlineStr">
        <is>
          <t>RID-EARN-005</t>
        </is>
      </c>
      <c r="B6" s="8" t="inlineStr">
        <is>
          <t>History, Earnings &amp; COD Remittance</t>
        </is>
      </c>
      <c r="C6" s="8" t="inlineStr">
        <is>
          <t>Short remittance</t>
        </is>
      </c>
      <c r="D6" s="8" t="inlineStr">
        <is>
          <t>Boundary Value Analysis</t>
        </is>
      </c>
      <c r="E6" s="8" t="inlineStr">
        <is>
          <t>Medium</t>
        </is>
      </c>
      <c r="F6" s="8" t="inlineStr">
        <is>
          <t>Logged in as Rider 1 (Active, Online, 0 active jobs).</t>
        </is>
      </c>
      <c r="G6" s="8" t="inlineStr">
        <is>
          <t>1. Submit ₱1,750.00.</t>
        </is>
      </c>
      <c r="H6" s="8" t="inlineStr"/>
      <c r="I6" s="8" t="inlineStr">
        <is>
          <t>Logistics 1 sees a ₱50.00 shortfall flag; Rider 1's balance shows ₱50.00 outstanding after confirmation.</t>
        </is>
      </c>
      <c r="J6" s="8" t="inlineStr">
        <is>
          <t>A24</t>
        </is>
      </c>
      <c r="K6" s="5" t="inlineStr">
        <is>
          <t xml:space="preserve">Could not complete short remittance: the rider remittance form/record is absent; no short remittance or pending own-remittance confirmation resource exists.</t>
        </is>
      </c>
      <c r="L6" s="5" t="inlineStr">
        <is>
          <t xml:space="preserve">Blocked</t>
        </is>
      </c>
      <c r="M6" s="5" t="inlineStr">
        <is>
          <t xml:space="preserve">Blocked prerequisite: RID-EARN-004. The required setup/action was unavailable, so the dependent expected result was not verified. Evidence reviewed from the existing runtime/implementation findings; this status review did not rerun the system.</t>
        </is>
      </c>
    </row>
    <row r="7" ht="29.5" customHeight="1">
      <c r="A7" s="7" t="inlineStr">
        <is>
          <t>RID-EARN-006</t>
        </is>
      </c>
      <c r="B7" s="8" t="inlineStr">
        <is>
          <t>History, Earnings &amp; COD Remittance</t>
        </is>
      </c>
      <c r="C7" s="8" t="inlineStr">
        <is>
          <t>Rider cannot confirm own remittance</t>
        </is>
      </c>
      <c r="D7" s="8" t="inlineStr">
        <is>
          <t>Error Guessing</t>
        </is>
      </c>
      <c r="E7" s="8" t="inlineStr">
        <is>
          <t>High</t>
        </is>
      </c>
      <c r="F7" s="8" t="inlineStr">
        <is>
          <t>Logged in as Rider 1 (Active, Online, 0 active jobs).</t>
        </is>
      </c>
      <c r="G7" s="8" t="inlineStr">
        <is>
          <t>1. Try the Logistics confirm request directly.</t>
        </is>
      </c>
      <c r="H7" s="8" t="inlineStr"/>
      <c r="I7" s="8" t="inlineStr">
        <is>
          <t>Rejected (403).</t>
        </is>
      </c>
      <c r="J7" s="8" t="inlineStr">
        <is>
          <t>A22, A24</t>
        </is>
      </c>
      <c r="K7" s="5" t="inlineStr">
        <is>
          <t xml:space="preserve">Could not complete rider cannot confirm own remittance: the rider remittance form/record is absent; no short remittance or pending own-remittance confirmation resource exists.</t>
        </is>
      </c>
      <c r="L7" s="5" t="inlineStr">
        <is>
          <t xml:space="preserve">Blocked</t>
        </is>
      </c>
      <c r="M7" s="5" t="inlineStr">
        <is>
          <t xml:space="preserve">Blocked prerequisite: RID-EARN-004. The required setup/action was unavailable, so the dependent expected result was not verified. Evidence reviewed from the existing runtime/implementation findings; this status review did not rerun the system.</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