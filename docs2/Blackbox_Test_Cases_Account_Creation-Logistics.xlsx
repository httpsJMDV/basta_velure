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Summary" sheetId="1" state="visible" r:id="rId3"/>
    <sheet name="Test Data" sheetId="2" state="visible" r:id="rId4"/>
    <sheet name="Test Files" sheetId="3" state="visible" r:id="rId5"/>
    <sheet name="Assumptions" sheetId="4" state="visible" r:id="rId6"/>
    <sheet name="Logistics" sheetId="5" state="visible" r:id="rId7"/>
  </sheets>
  <definedNames>
    <definedName function="false" hidden="false" localSheetId="4" name="_xlnm.Print_Titles" vbProcedure="false">Logistics!$1:$1</definedName>
    <definedName function="false" hidden="true" localSheetId="4" name="_xlnm._FilterDatabase" vbProcedure="false">Logistics!$A$1:$M$45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<sst xmlns="http://schemas.openxmlformats.org/spreadsheetml/2006/main" count="1186" uniqueCount="620">
  <si>
    <t xml:space="preserve">Black-Box Test Cases: Account Creation</t>
  </si>
  <si>
    <t xml:space="preserve">Multi-role e-commerce system (Buyer, Seller, Logistics, Rider)</t>
  </si>
  <si>
    <t xml:space="preserve">Test run details</t>
  </si>
  <si>
    <t xml:space="preserve">System under test</t>
  </si>
  <si>
    <t xml:space="preserve">Version / build</t>
  </si>
  <si>
    <t xml:space="preserve">Test environment (browser, device)</t>
  </si>
  <si>
    <t xml:space="preserve">Tester</t>
  </si>
  <si>
    <t xml:space="preserve">Date tested</t>
  </si>
  <si>
    <t xml:space="preserve">Results by role</t>
  </si>
  <si>
    <t xml:space="preserve">Role (sheet)</t>
  </si>
  <si>
    <t xml:space="preserve">Total test cases</t>
  </si>
  <si>
    <t xml:space="preserve">Pass</t>
  </si>
  <si>
    <t xml:space="preserve">Fail</t>
  </si>
  <si>
    <t xml:space="preserve">Blocked</t>
  </si>
  <si>
    <t xml:space="preserve">Not Run</t>
  </si>
  <si>
    <t xml:space="preserve">Pass rate (Pass / Total)</t>
  </si>
  <si>
    <t xml:space="preserve">Buyer</t>
  </si>
  <si>
    <t xml:space="preserve">Seller</t>
  </si>
  <si>
    <t xml:space="preserve">Logistics</t>
  </si>
  <si>
    <t xml:space="preserve">Rider</t>
  </si>
  <si>
    <t xml:space="preserve">Total</t>
  </si>
  <si>
    <t xml:space="preserve">How to use this workbook</t>
  </si>
  <si>
    <t xml:space="preserve">1. Read the Assumptions sheet first. The rules are modeled on Philippine marketplaces, so adjust any case whose rule differs from your system.</t>
  </si>
  <si>
    <t xml:space="preserve">2. The Test Data sheet lists every form field with two ready-made accounts per role. The Test Files sheet lists the upload files to prepare. All people, companies and numbers are fictional.</t>
  </si>
  <si>
    <t xml:space="preserve">3. Emails use example.com, so nothing is delivered to a real inbox. Read OTP and activation emails from a mail catcher such as Mailtrap, or from your application's mail log.</t>
  </si>
  <si>
    <t xml:space="preserve">4. On each role sheet, run the Test Steps with the Test Data and compare what happens with the Expected Result. Use a spare email and mobile number from the Test Data sheet whenever a value marked (accept) creates another account.</t>
  </si>
  <si>
    <t xml:space="preserve">5. Dates of birth and license expiry dates in the boundary cases are calculated from today's date, so they are always correct on the day you test.</t>
  </si>
  <si>
    <t xml:space="preserve">6. Fill in only the yellow cells: Actual Result, Status and Remarks. Pick the Status from the dropdown (Pass, Fail, Blocked, Not Run).</t>
  </si>
  <si>
    <t xml:space="preserve">7. Pass = actual matches expected. Fail = it does not (describe what happened and add a screenshot or bug number in Remarks). Blocked = the case could not be run, for example because an earlier case failed.</t>
  </si>
  <si>
    <t xml:space="preserve">8. The Results by role table above updates automatically from the Status column.</t>
  </si>
  <si>
    <t xml:space="preserve">Example of a filled-in row (illustration only, not a real result)</t>
  </si>
  <si>
    <t xml:space="preserve">Test Case ID</t>
  </si>
  <si>
    <t xml:space="preserve">Test Scenario</t>
  </si>
  <si>
    <t xml:space="preserve">Expected Result</t>
  </si>
  <si>
    <t xml:space="preserve">Actual Result</t>
  </si>
  <si>
    <t xml:space="preserve">Status</t>
  </si>
  <si>
    <t xml:space="preserve">Remarks</t>
  </si>
  <si>
    <t xml:space="preserve">TC-BUY-010</t>
  </si>
  <si>
    <t xml:space="preserve">Email that is already registered</t>
  </si>
  <si>
    <t xml:space="preserve">Registration is blocked. A message says the email is already in use. No account is created.</t>
  </si>
  <si>
    <t xml:space="preserve">No message was shown. A second account was created with juanmiguel.delacruz@example.com.</t>
  </si>
  <si>
    <t xml:space="preserve">Bug #012. Screenshot: buy-010.png</t>
  </si>
  <si>
    <t xml:space="preserve">Black-box techniques used</t>
  </si>
  <si>
    <t xml:space="preserve">Equivalence Partitioning</t>
  </si>
  <si>
    <t xml:space="preserve">Inputs are grouped into valid and invalid classes, and one value from each class is tested.</t>
  </si>
  <si>
    <t xml:space="preserve">Boundary Value Analysis</t>
  </si>
  <si>
    <t xml:space="preserve">Values at and just beyond a limit are tested, for example 7 and 8 characters for a minimum of 8.</t>
  </si>
  <si>
    <t xml:space="preserve">Decision Table</t>
  </si>
  <si>
    <t xml:space="preserve">Combinations of conditions are tested, for example each missing password character type.</t>
  </si>
  <si>
    <t xml:space="preserve">State Transition</t>
  </si>
  <si>
    <t xml:space="preserve">Changes in account status are tested, for example Unverified to Active or Pending Approval to Approved.</t>
  </si>
  <si>
    <t xml:space="preserve">Use Case Testing</t>
  </si>
  <si>
    <t xml:space="preserve">A complete user flow is tested from start to finish with valid data.</t>
  </si>
  <si>
    <t xml:space="preserve">Error Guessing</t>
  </si>
  <si>
    <t xml:space="preserve">Likely mistakes are tested based on experience, for example double-clicking Register or pasting another role's URL.</t>
  </si>
  <si>
    <t xml:space="preserve">Test data and input details</t>
  </si>
  <si>
    <t xml:space="preserve">Every form field per role, with its rule and two complete sets of valid data. Account 1 is the main account in the test cases. Account 2 is for cases that need a second account. All people, companies, numbers and addresses are fictional.</t>
  </si>
  <si>
    <t xml:space="preserve">Buyer: Self-registration</t>
  </si>
  <si>
    <t xml:space="preserve">Role</t>
  </si>
  <si>
    <t xml:space="preserve">Field</t>
  </si>
  <si>
    <t xml:space="preserve">Required</t>
  </si>
  <si>
    <t xml:space="preserve">Input type</t>
  </si>
  <si>
    <t xml:space="preserve">Format / rule</t>
  </si>
  <si>
    <t xml:space="preserve">Account 1 (valid)</t>
  </si>
  <si>
    <t xml:space="preserve">Account 2 (valid)</t>
  </si>
  <si>
    <t xml:space="preserve">First Name</t>
  </si>
  <si>
    <t xml:space="preserve">Yes</t>
  </si>
  <si>
    <t xml:space="preserve">Text</t>
  </si>
  <si>
    <t xml:space="preserve">2 to 50 characters; letters, spaces, hyphen, apostrophe, period</t>
  </si>
  <si>
    <t xml:space="preserve">Juan Miguel</t>
  </si>
  <si>
    <t xml:space="preserve">Ana Marie</t>
  </si>
  <si>
    <t xml:space="preserve">Last Name</t>
  </si>
  <si>
    <t xml:space="preserve">Dela Cruz</t>
  </si>
  <si>
    <t xml:space="preserve">Reyes</t>
  </si>
  <si>
    <t xml:space="preserve">Email</t>
  </si>
  <si>
    <t xml:space="preserve">Valid email format; unique</t>
  </si>
  <si>
    <t xml:space="preserve">juanmiguel.delacruz@example.com</t>
  </si>
  <si>
    <t xml:space="preserve">anamarie.reyes@example.com</t>
  </si>
  <si>
    <t xml:space="preserve">Mobile Number</t>
  </si>
  <si>
    <t xml:space="preserve">09XXXXXXXXX or +639XXXXXXXXX; unique</t>
  </si>
  <si>
    <t xml:space="preserve">09171234567</t>
  </si>
  <si>
    <t xml:space="preserve">09173456789</t>
  </si>
  <si>
    <t xml:space="preserve">Date of Birth</t>
  </si>
  <si>
    <t xml:space="preserve">Date picker</t>
  </si>
  <si>
    <t xml:space="preserve">At least 18 years old</t>
  </si>
  <si>
    <t xml:space="preserve">05/14/1998</t>
  </si>
  <si>
    <t xml:space="preserve">11/02/2001</t>
  </si>
  <si>
    <t xml:space="preserve">Password</t>
  </si>
  <si>
    <t xml:space="preserve">Min 8 characters; uppercase, lowercase, number, special character</t>
  </si>
  <si>
    <t xml:space="preserve">Mamimili@2026</t>
  </si>
  <si>
    <t xml:space="preserve">Suki#2026Ana</t>
  </si>
  <si>
    <t xml:space="preserve">Confirm Password</t>
  </si>
  <si>
    <t xml:space="preserve">Must match Password</t>
  </si>
  <si>
    <t xml:space="preserve">Terms and Privacy Policy</t>
  </si>
  <si>
    <t xml:space="preserve">Checkbox</t>
  </si>
  <si>
    <t xml:space="preserve">Must be ticked</t>
  </si>
  <si>
    <t xml:space="preserve">Ticked</t>
  </si>
  <si>
    <t xml:space="preserve">Seller: Self-registration, then admin approval</t>
  </si>
  <si>
    <t xml:space="preserve">Maria Clara</t>
  </si>
  <si>
    <t xml:space="preserve">Roberto</t>
  </si>
  <si>
    <t xml:space="preserve">Santos</t>
  </si>
  <si>
    <t xml:space="preserve">Villanueva</t>
  </si>
  <si>
    <t xml:space="preserve">mariaclara.santos@example.com</t>
  </si>
  <si>
    <t xml:space="preserve">roberto.villanueva@example.com</t>
  </si>
  <si>
    <t xml:space="preserve">09189876543</t>
  </si>
  <si>
    <t xml:space="preserve">09194567890</t>
  </si>
  <si>
    <t xml:space="preserve">Shop Name</t>
  </si>
  <si>
    <t xml:space="preserve">3 to 30 characters; unique</t>
  </si>
  <si>
    <t xml:space="preserve">Maria Clara Handicrafts</t>
  </si>
  <si>
    <t xml:space="preserve">RV Gadget Hub</t>
  </si>
  <si>
    <t xml:space="preserve">Shop Category</t>
  </si>
  <si>
    <t xml:space="preserve">Dropdown</t>
  </si>
  <si>
    <t xml:space="preserve">One main category</t>
  </si>
  <si>
    <t xml:space="preserve">Home &amp; Living</t>
  </si>
  <si>
    <t xml:space="preserve">Mobiles &amp; Gadgets</t>
  </si>
  <si>
    <t xml:space="preserve">Seller Type</t>
  </si>
  <si>
    <t xml:space="preserve">Individual, Sole Proprietorship or Corporation</t>
  </si>
  <si>
    <t xml:space="preserve">Sole Proprietorship</t>
  </si>
  <si>
    <t xml:space="preserve">Corporation</t>
  </si>
  <si>
    <t xml:space="preserve">TIN</t>
  </si>
  <si>
    <t xml:space="preserve">000-000-000-000 (12 digits); unique</t>
  </si>
  <si>
    <t xml:space="preserve">123-456-789-000</t>
  </si>
  <si>
    <t xml:space="preserve">456-789-012-000</t>
  </si>
  <si>
    <t xml:space="preserve">Region</t>
  </si>
  <si>
    <t xml:space="preserve">Philippine regions</t>
  </si>
  <si>
    <t xml:space="preserve">National Capital Region (NCR)</t>
  </si>
  <si>
    <t xml:space="preserve">Region VII (Central Visayas)</t>
  </si>
  <si>
    <t xml:space="preserve">Province</t>
  </si>
  <si>
    <t xml:space="preserve">Filtered by Region</t>
  </si>
  <si>
    <t xml:space="preserve">Metro Manila</t>
  </si>
  <si>
    <t xml:space="preserve">Cebu</t>
  </si>
  <si>
    <t xml:space="preserve">City / Municipality</t>
  </si>
  <si>
    <t xml:space="preserve">Filtered by Province</t>
  </si>
  <si>
    <t xml:space="preserve">Quezon City</t>
  </si>
  <si>
    <t xml:space="preserve">Cebu City</t>
  </si>
  <si>
    <t xml:space="preserve">Barangay</t>
  </si>
  <si>
    <t xml:space="preserve">Filtered by City / Municipality</t>
  </si>
  <si>
    <t xml:space="preserve">Commonwealth</t>
  </si>
  <si>
    <t xml:space="preserve">Lahug</t>
  </si>
  <si>
    <t xml:space="preserve">Street Address</t>
  </si>
  <si>
    <t xml:space="preserve">House, unit or lot number and street</t>
  </si>
  <si>
    <t xml:space="preserve">Blk 12 Lot 8, Sampaguita St.</t>
  </si>
  <si>
    <t xml:space="preserve">2F, 45 Gorordo Ave.</t>
  </si>
  <si>
    <t xml:space="preserve">Postal Code</t>
  </si>
  <si>
    <t xml:space="preserve">Exactly 4 digits</t>
  </si>
  <si>
    <t xml:space="preserve">1121</t>
  </si>
  <si>
    <t xml:space="preserve">6000</t>
  </si>
  <si>
    <t xml:space="preserve">Government-issued ID (upload)</t>
  </si>
  <si>
    <t xml:space="preserve">File</t>
  </si>
  <si>
    <t xml:space="preserve">JPG, PNG or PDF; max 5 MB</t>
  </si>
  <si>
    <t xml:space="preserve">govt_id_front.jpg (1.2 MB)</t>
  </si>
  <si>
    <t xml:space="preserve">govt_id_front.png (2.4 MB)</t>
  </si>
  <si>
    <t xml:space="preserve">DTI Certificate (upload)</t>
  </si>
  <si>
    <t xml:space="preserve">Sole Proprietorship only</t>
  </si>
  <si>
    <t xml:space="preserve">dti_certificate.pdf (850 KB)</t>
  </si>
  <si>
    <t xml:space="preserve">Not applicable</t>
  </si>
  <si>
    <t xml:space="preserve">SEC Certificate (upload)</t>
  </si>
  <si>
    <t xml:space="preserve">Corporation only</t>
  </si>
  <si>
    <t xml:space="preserve">sec_certificate.pdf (1.0 MB)</t>
  </si>
  <si>
    <t xml:space="preserve">BIR Form 2303 (upload)</t>
  </si>
  <si>
    <t xml:space="preserve">Sole Proprietorship and Corporation</t>
  </si>
  <si>
    <t xml:space="preserve">bir_2303.pdf (1.1 MB)</t>
  </si>
  <si>
    <t xml:space="preserve">Tindahan@2026</t>
  </si>
  <si>
    <t xml:space="preserve">Gadget#Hub26</t>
  </si>
  <si>
    <t xml:space="preserve">Logistics: Self-registration, then admin approval</t>
  </si>
  <si>
    <t xml:space="preserve">Company Name</t>
  </si>
  <si>
    <t xml:space="preserve">Unique</t>
  </si>
  <si>
    <t xml:space="preserve">Bilis Hatid Express Inc.</t>
  </si>
  <si>
    <t xml:space="preserve">Agila Cargo Movers Corp.</t>
  </si>
  <si>
    <t xml:space="preserve">SEC Registration No.</t>
  </si>
  <si>
    <t xml:space="preserve">2 letters followed by 9 digits; unique</t>
  </si>
  <si>
    <t xml:space="preserve">CS202012345</t>
  </si>
  <si>
    <t xml:space="preserve">CS201998765</t>
  </si>
  <si>
    <t xml:space="preserve">234-567-890-000</t>
  </si>
  <si>
    <t xml:space="preserve">567-890-123-000</t>
  </si>
  <si>
    <t xml:space="preserve">Region XI (Davao Region)</t>
  </si>
  <si>
    <t xml:space="preserve">Davao del Sur</t>
  </si>
  <si>
    <t xml:space="preserve">Pasig City</t>
  </si>
  <si>
    <t xml:space="preserve">Davao City</t>
  </si>
  <si>
    <t xml:space="preserve">Kapitolyo</t>
  </si>
  <si>
    <t xml:space="preserve">Buhangin</t>
  </si>
  <si>
    <t xml:space="preserve">Unit 5B, 88 West Capitol Drive</t>
  </si>
  <si>
    <t xml:space="preserve">Door 3, 210 Sampaguita St.</t>
  </si>
  <si>
    <t xml:space="preserve">1603</t>
  </si>
  <si>
    <t xml:space="preserve">8000</t>
  </si>
  <si>
    <t xml:space="preserve">Contact Person First Name</t>
  </si>
  <si>
    <t xml:space="preserve">Carlos Antonio</t>
  </si>
  <si>
    <t xml:space="preserve">Liza Mae</t>
  </si>
  <si>
    <t xml:space="preserve">Contact Person Last Name</t>
  </si>
  <si>
    <t xml:space="preserve">Mendoza</t>
  </si>
  <si>
    <t xml:space="preserve">Fernandez</t>
  </si>
  <si>
    <t xml:space="preserve">Position</t>
  </si>
  <si>
    <t xml:space="preserve">Job title of the contact person</t>
  </si>
  <si>
    <t xml:space="preserve">Operations Manager</t>
  </si>
  <si>
    <t xml:space="preserve">General Manager</t>
  </si>
  <si>
    <t xml:space="preserve">operations@bilishatid.example.com</t>
  </si>
  <si>
    <t xml:space="preserve">admin@agilacargo.example.com</t>
  </si>
  <si>
    <t xml:space="preserve">09285551234</t>
  </si>
  <si>
    <t xml:space="preserve">09396667890</t>
  </si>
  <si>
    <t xml:space="preserve">Service Areas</t>
  </si>
  <si>
    <t xml:space="preserve">Multi-select</t>
  </si>
  <si>
    <t xml:space="preserve">At least one region</t>
  </si>
  <si>
    <t xml:space="preserve">NCR; Region IV-A (CALABARZON)</t>
  </si>
  <si>
    <t xml:space="preserve">Mayor's / Business Permit (upload)</t>
  </si>
  <si>
    <t xml:space="preserve">mayors_permit.pdf (1.3 MB)</t>
  </si>
  <si>
    <t xml:space="preserve">Valid ID of Authorized Representative (upload)</t>
  </si>
  <si>
    <t xml:space="preserve">Hatid@2026</t>
  </si>
  <si>
    <t xml:space="preserve">Agila#Cargo26</t>
  </si>
  <si>
    <t xml:space="preserve">Rider: Created by an Approved logistics account</t>
  </si>
  <si>
    <t xml:space="preserve">Pedro Jose</t>
  </si>
  <si>
    <t xml:space="preserve">Mark Anthony</t>
  </si>
  <si>
    <t xml:space="preserve">Garcia</t>
  </si>
  <si>
    <t xml:space="preserve">Bautista</t>
  </si>
  <si>
    <t xml:space="preserve">03/22/1995</t>
  </si>
  <si>
    <t xml:space="preserve">08/09/1999</t>
  </si>
  <si>
    <t xml:space="preserve">pedrojose.garcia@example.com</t>
  </si>
  <si>
    <t xml:space="preserve">markanthony.bautista@example.com</t>
  </si>
  <si>
    <t xml:space="preserve">09451239876</t>
  </si>
  <si>
    <t xml:space="preserve">09662345678</t>
  </si>
  <si>
    <t xml:space="preserve">Driver's License No.</t>
  </si>
  <si>
    <t xml:space="preserve">A00-00-000000; unique</t>
  </si>
  <si>
    <t xml:space="preserve">N01-23-456789</t>
  </si>
  <si>
    <t xml:space="preserve">D05-19-123456</t>
  </si>
  <si>
    <t xml:space="preserve">License Expiry Date</t>
  </si>
  <si>
    <t xml:space="preserve">Today or later</t>
  </si>
  <si>
    <t xml:space="preserve">03/22/2030</t>
  </si>
  <si>
    <t xml:space="preserve">08/09/2031</t>
  </si>
  <si>
    <t xml:space="preserve">Vehicle Type</t>
  </si>
  <si>
    <t xml:space="preserve">Motorcycle, Car or Van</t>
  </si>
  <si>
    <t xml:space="preserve">Motorcycle</t>
  </si>
  <si>
    <t xml:space="preserve">Van</t>
  </si>
  <si>
    <t xml:space="preserve">Plate Number</t>
  </si>
  <si>
    <t xml:space="preserve">123ABC</t>
  </si>
  <si>
    <t xml:space="preserve">NBC1234</t>
  </si>
  <si>
    <t xml:space="preserve">Driver's License (upload)</t>
  </si>
  <si>
    <t xml:space="preserve">drivers_license.jpg (1.5 MB)</t>
  </si>
  <si>
    <t xml:space="preserve">drivers_license.png (2.0 MB)</t>
  </si>
  <si>
    <t xml:space="preserve">Vehicle OR/CR (upload)</t>
  </si>
  <si>
    <t xml:space="preserve">or_cr.pdf (900 KB)</t>
  </si>
  <si>
    <t xml:space="preserve">Password (set by the rider at activation)</t>
  </si>
  <si>
    <t xml:space="preserve">Rider@2026</t>
  </si>
  <si>
    <t xml:space="preserve">Hatid#Mark26</t>
  </si>
  <si>
    <t xml:space="preserve">Other values</t>
  </si>
  <si>
    <t xml:space="preserve">Spare emails for repeat attempts</t>
  </si>
  <si>
    <t xml:space="preserve">buyer.test01@example.com to buyer.test10@example.com (same pattern for seller.test, logistics.test and rider.test)</t>
  </si>
  <si>
    <t xml:space="preserve">Spare mobile numbers for repeat attempts</t>
  </si>
  <si>
    <t xml:space="preserve">09170000001 to 09170000020</t>
  </si>
  <si>
    <t xml:space="preserve">Admin account for approval tests</t>
  </si>
  <si>
    <t xml:space="preserve">Use the admin account already seeded in your system</t>
  </si>
  <si>
    <t xml:space="preserve">Upload files to prepare</t>
  </si>
  <si>
    <t xml:space="preserve">Prepare these files before testing the document uploads. Use sample or blank documents, not anyone's real ID or certificate. The size limit is 5 MB, which is 5,120 KB or 5,242,880 bytes.</t>
  </si>
  <si>
    <t xml:space="preserve">File name</t>
  </si>
  <si>
    <t xml:space="preserve">Type</t>
  </si>
  <si>
    <t xml:space="preserve">Size</t>
  </si>
  <si>
    <t xml:space="preserve">Used for</t>
  </si>
  <si>
    <t xml:space="preserve">Expected result</t>
  </si>
  <si>
    <t xml:space="preserve">govt_id_front.jpg</t>
  </si>
  <si>
    <t xml:space="preserve">JPG</t>
  </si>
  <si>
    <t xml:space="preserve">1.2 MB</t>
  </si>
  <si>
    <t xml:space="preserve">Valid government ID</t>
  </si>
  <si>
    <t xml:space="preserve">Accept</t>
  </si>
  <si>
    <t xml:space="preserve">govt_id_front.png</t>
  </si>
  <si>
    <t xml:space="preserve">PNG</t>
  </si>
  <si>
    <t xml:space="preserve">2.4 MB</t>
  </si>
  <si>
    <t xml:space="preserve">Valid government ID in PNG</t>
  </si>
  <si>
    <t xml:space="preserve">dti_certificate.pdf</t>
  </si>
  <si>
    <t xml:space="preserve">PDF</t>
  </si>
  <si>
    <t xml:space="preserve">850 KB</t>
  </si>
  <si>
    <t xml:space="preserve">DTI Certificate of Business Name Registration</t>
  </si>
  <si>
    <t xml:space="preserve">dti_certificate_clear.pdf</t>
  </si>
  <si>
    <t xml:space="preserve">1.0 MB</t>
  </si>
  <si>
    <t xml:space="preserve">Replacement document for the resubmit test (seller)</t>
  </si>
  <si>
    <t xml:space="preserve">sec_certificate.pdf</t>
  </si>
  <si>
    <t xml:space="preserve">SEC Certificate of Registration</t>
  </si>
  <si>
    <t xml:space="preserve">bir_2303.pdf</t>
  </si>
  <si>
    <t xml:space="preserve">1.1 MB</t>
  </si>
  <si>
    <t xml:space="preserve">BIR Certificate of Registration (Form 2303)</t>
  </si>
  <si>
    <t xml:space="preserve">mayors_permit.pdf</t>
  </si>
  <si>
    <t xml:space="preserve">1.3 MB</t>
  </si>
  <si>
    <t xml:space="preserve">Mayor's / Business Permit</t>
  </si>
  <si>
    <t xml:space="preserve">mayors_permit_2026.pdf</t>
  </si>
  <si>
    <t xml:space="preserve">Replacement document for the resubmit test (logistics)</t>
  </si>
  <si>
    <t xml:space="preserve">drivers_license.jpg</t>
  </si>
  <si>
    <t xml:space="preserve">1.5 MB</t>
  </si>
  <si>
    <t xml:space="preserve">Rider's driver's license</t>
  </si>
  <si>
    <t xml:space="preserve">drivers_license.png</t>
  </si>
  <si>
    <t xml:space="preserve">2.0 MB</t>
  </si>
  <si>
    <t xml:space="preserve">Rider's driver's license in PNG</t>
  </si>
  <si>
    <t xml:space="preserve">drivers_license.pdf</t>
  </si>
  <si>
    <t xml:space="preserve">700 KB</t>
  </si>
  <si>
    <t xml:space="preserve">Rider's driver's license in PDF</t>
  </si>
  <si>
    <t xml:space="preserve">or_cr.pdf</t>
  </si>
  <si>
    <t xml:space="preserve">900 KB</t>
  </si>
  <si>
    <t xml:space="preserve">Vehicle Official Receipt and Certificate of Registration</t>
  </si>
  <si>
    <t xml:space="preserve">size_4.9MB.jpg</t>
  </si>
  <si>
    <t xml:space="preserve">4.9 MB (5,138,022 bytes)</t>
  </si>
  <si>
    <t xml:space="preserve">Just under the size limit</t>
  </si>
  <si>
    <t xml:space="preserve">size_5.0MB.jpg</t>
  </si>
  <si>
    <t xml:space="preserve">5.0 MB (5,242,880 bytes)</t>
  </si>
  <si>
    <t xml:space="preserve">Exactly at the size limit</t>
  </si>
  <si>
    <t xml:space="preserve">size_5.1MB.jpg</t>
  </si>
  <si>
    <t xml:space="preserve">5.1 MB (5,347,738 bytes)</t>
  </si>
  <si>
    <t xml:space="preserve">Just over the size limit</t>
  </si>
  <si>
    <t xml:space="preserve">Reject</t>
  </si>
  <si>
    <t xml:space="preserve">price_list.docx</t>
  </si>
  <si>
    <t xml:space="preserve">DOCX</t>
  </si>
  <si>
    <t xml:space="preserve">320 KB</t>
  </si>
  <si>
    <t xml:space="preserve">Wrong file type (Word document)</t>
  </si>
  <si>
    <t xml:space="preserve">store_banner.gif</t>
  </si>
  <si>
    <t xml:space="preserve">GIF</t>
  </si>
  <si>
    <t xml:space="preserve">480 KB</t>
  </si>
  <si>
    <t xml:space="preserve">Wrong file type (GIF image)</t>
  </si>
  <si>
    <t xml:space="preserve">installer.exe</t>
  </si>
  <si>
    <t xml:space="preserve">EXE</t>
  </si>
  <si>
    <t xml:space="preserve">2.1 MB</t>
  </si>
  <si>
    <t xml:space="preserve">Wrong file type (program)</t>
  </si>
  <si>
    <t xml:space="preserve">Assumptions used in the test cases</t>
  </si>
  <si>
    <t xml:space="preserve">These rules are modeled on Philippine marketplaces, not taken from your actual system. Write your real rule in column D where it differs, then filter the Assumption Ref column on each role sheet to find the test cases to adjust.</t>
  </si>
  <si>
    <t xml:space="preserve">Ref</t>
  </si>
  <si>
    <t xml:space="preserve">Topic</t>
  </si>
  <si>
    <t xml:space="preserve">Assumed rule</t>
  </si>
  <si>
    <t xml:space="preserve">Your system's actual rule (fill in if different)</t>
  </si>
  <si>
    <t xml:space="preserve">A1</t>
  </si>
  <si>
    <t xml:space="preserve">Form fields</t>
  </si>
  <si>
    <t xml:space="preserve">Each role's form has the fields listed on the Test Data sheet, modeled on Philippine marketplaces. Payout details (bank or e-wallet) are set up after approval, not during registration.</t>
  </si>
  <si>
    <t xml:space="preserve">A2</t>
  </si>
  <si>
    <t xml:space="preserve">Name rule</t>
  </si>
  <si>
    <t xml:space="preserve">2 to 50 characters. Letters (including ñ), spaces, hyphen, apostrophe and period only.</t>
  </si>
  <si>
    <t xml:space="preserve">A3</t>
  </si>
  <si>
    <t xml:space="preserve">Email rule</t>
  </si>
  <si>
    <t xml:space="preserve">Must be a valid email format. Unique across all roles (one email = one account). Not case-sensitive. Leading and trailing spaces are removed.</t>
  </si>
  <si>
    <t xml:space="preserve">A4</t>
  </si>
  <si>
    <t xml:space="preserve">Mobile number rule</t>
  </si>
  <si>
    <t xml:space="preserve">Philippine mobile number entered as 09XXXXXXXXX (11 digits) or +639XXXXXXXXX. Both forms are stored as the same number. Unique across all accounts.</t>
  </si>
  <si>
    <t xml:space="preserve">A5</t>
  </si>
  <si>
    <t xml:space="preserve">Password rule</t>
  </si>
  <si>
    <t xml:space="preserve">At least 8 characters with at least one uppercase letter, one lowercase letter, one number and one special character. Confirm Password must match.</t>
  </si>
  <si>
    <t xml:space="preserve">A6</t>
  </si>
  <si>
    <t xml:space="preserve">Date of birth rule</t>
  </si>
  <si>
    <t xml:space="preserve">Buyers and riders must be at least 18 years old on the day of registration. A future date is not allowed.</t>
  </si>
  <si>
    <t xml:space="preserve">A7</t>
  </si>
  <si>
    <t xml:space="preserve">Address rule</t>
  </si>
  <si>
    <t xml:space="preserve">Region, Province, City/Municipality and Barangay are linked dropdowns: each list depends on the one before it. Postal Code is exactly 4 digits.</t>
  </si>
  <si>
    <t xml:space="preserve">A8</t>
  </si>
  <si>
    <t xml:space="preserve">TIN rule</t>
  </si>
  <si>
    <t xml:space="preserve">12 digits in the form 000-000-000-000 (9-digit TIN plus 3-digit branch code). Unique across seller and logistics accounts.</t>
  </si>
  <si>
    <t xml:space="preserve">A9</t>
  </si>
  <si>
    <t xml:space="preserve">Email verification (OTP)</t>
  </si>
  <si>
    <t xml:space="preserve">A 6-digit numeric code is emailed after registration. It is valid for 5 minutes. Resending creates a new code and cancels the old one. An account cannot be used until it is verified.</t>
  </si>
  <si>
    <t xml:space="preserve">A10</t>
  </si>
  <si>
    <t xml:space="preserve">Document upload rule</t>
  </si>
  <si>
    <t xml:space="preserve">Accepted file types: JPG, PNG, PDF. Maximum size: 5 MB (5,120 KB) per file.</t>
  </si>
  <si>
    <t xml:space="preserve">A11</t>
  </si>
  <si>
    <t xml:space="preserve">Seller documents by seller type</t>
  </si>
  <si>
    <t xml:space="preserve">Individual: Government-issued ID. Sole Proprietorship: Government-issued ID, DTI Certificate and BIR Form 2303. Corporation: Government-issued ID of the representative, SEC Certificate and BIR Form 2303.</t>
  </si>
  <si>
    <t xml:space="preserve">A12</t>
  </si>
  <si>
    <t xml:space="preserve">Account status flow</t>
  </si>
  <si>
    <t xml:space="preserve">Buyer: Unverified, then Active after OTP. Seller and Logistics: Unverified, then Pending Approval after OTP, then Approved or Rejected by an admin. A rejected applicant can correct the details and resubmit.</t>
  </si>
  <si>
    <t xml:space="preserve">A13</t>
  </si>
  <si>
    <t xml:space="preserve">Rider account flow</t>
  </si>
  <si>
    <t xml:space="preserve">Riders cannot register themselves. Only an Approved logistics account can create a rider. The rider starts as Pending Activation and becomes Active after setting a password through an emailed activation link, which is valid for 24 hours. Riders do not need separate admin approval.</t>
  </si>
  <si>
    <t xml:space="preserve">A14</t>
  </si>
  <si>
    <t xml:space="preserve">Unique business identifiers</t>
  </si>
  <si>
    <t xml:space="preserve">Shop Name (3 to 30 characters), Company Name, SEC Registration No. (2 letters followed by 9 digits), Driver's License No. and Plate Number must each be unique.</t>
  </si>
  <si>
    <t xml:space="preserve">A15</t>
  </si>
  <si>
    <t xml:space="preserve">Driver's license rule</t>
  </si>
  <si>
    <t xml:space="preserve">License number follows the LTO form A00-00-000000 (1 letter and 11 digits). The expiry date must be today or a later date.</t>
  </si>
  <si>
    <t xml:space="preserve">A16</t>
  </si>
  <si>
    <t xml:space="preserve">Role-based access</t>
  </si>
  <si>
    <t xml:space="preserve">Each role can open only its own pages. Opening another role's page is denied (error 403 or redirect).</t>
  </si>
  <si>
    <t xml:space="preserve">Module</t>
  </si>
  <si>
    <t xml:space="preserve">Technique</t>
  </si>
  <si>
    <t xml:space="preserve">Priority</t>
  </si>
  <si>
    <t xml:space="preserve">Preconditions</t>
  </si>
  <si>
    <t xml:space="preserve">Test Steps</t>
  </si>
  <si>
    <t xml:space="preserve">Test Data</t>
  </si>
  <si>
    <t xml:space="preserve">Assumption Ref</t>
  </si>
  <si>
    <t xml:space="preserve">TC-LOG-001</t>
  </si>
  <si>
    <t xml:space="preserve">Registration Form</t>
  </si>
  <si>
    <t xml:space="preserve">Register with all valid data</t>
  </si>
  <si>
    <t xml:space="preserve">High</t>
  </si>
  <si>
    <t xml:space="preserve">The logistics registration page is open. The email, mobile number and other unique values in the test data are not yet registered.</t>
  </si>
  <si>
    <t xml:space="preserve">1. Fill in every field with the test data.
2. Click Register.</t>
  </si>
  <si>
    <t xml:space="preserve">Company Name: Bilis Hatid Express Inc.
SEC Registration No.: CS202012345
TIN: 234-567-890-000
Region: National Capital Region (NCR)
Province: Metro Manila
City / Municipality: Pasig City
Barangay: Kapitolyo
Street Address: Unit 5B, 88 West Capitol Drive
Postal Code: 1603
Contact Person First Name: Carlos Antonio
Contact Person Last Name: Mendoza
Position: Operations Manager
Email: operations@bilishatid.example.com
Mobile Number: 09285551234
Service Areas: NCR; Region IV-A (CALABARZON)
SEC Certificate (upload): sec_certificate.pdf (1.0 MB)
BIR Form 2303 (upload): bir_2303.pdf (1.1 MB)
Mayor's / Business Permit (upload): mayors_permit.pdf (1.3 MB)
Valid ID of Authorized Representative (upload): govt_id_front.jpg (1.2 MB)
Password: Hatid@2026
Confirm Password: Hatid@2026
Terms and Privacy Policy: Ticked</t>
  </si>
  <si>
    <t xml:space="preserve">The form is accepted with no validation errors. A success message is shown, a 6-digit OTP is sent to the email, and the email verification page opens. The account is saved with status Unverified.</t>
  </si>
  <si>
    <t xml:space="preserve">A1, A9, A12</t>
  </si>
  <si>
    <t xml:space="preserve">TC-LOG-002</t>
  </si>
  <si>
    <t xml:space="preserve">Required Fields</t>
  </si>
  <si>
    <t xml:space="preserve">Submit a completely empty form</t>
  </si>
  <si>
    <t xml:space="preserve">The logistics registration page is open.</t>
  </si>
  <si>
    <t xml:space="preserve">1. Leave every field blank and every dropdown on its default option.
2. Click Register.</t>
  </si>
  <si>
    <t xml:space="preserve">All fields blank</t>
  </si>
  <si>
    <t xml:space="preserve">Registration is blocked. A required-field message is shown for every mandatory field. No account is created and no OTP is sent.</t>
  </si>
  <si>
    <t xml:space="preserve">TC-LOG-003</t>
  </si>
  <si>
    <t xml:space="preserve">Leave one required field blank at a time</t>
  </si>
  <si>
    <t xml:space="preserve">1. Fill in all fields with valid data.
2. Clear one required field.
3. Click Register.
4. Repeat for each field in the test data.</t>
  </si>
  <si>
    <t xml:space="preserve">Clear in turn:
Company Name
SEC Registration No.
TIN
Region
Province
City / Municipality
Barangay
Street Address
Postal Code
Contact Person First Name
Contact Person Last Name
Position
Email
Mobile Number
Service Areas
SEC Certificate (upload)
BIR Form 2303 (upload)
Mayor's / Business Permit (upload)
Valid ID of Authorized Representative (upload)
Password
Confirm Password</t>
  </si>
  <si>
    <t xml:space="preserve">Each time, registration is blocked and a required-field message is shown on the blank field only. Other entered values (except passwords and uploads) are kept. No account is created.</t>
  </si>
  <si>
    <t xml:space="preserve">TC-LOG-004</t>
  </si>
  <si>
    <t xml:space="preserve">Name</t>
  </si>
  <si>
    <t xml:space="preserve">Name with numbers or symbols</t>
  </si>
  <si>
    <t xml:space="preserve">Medium</t>
  </si>
  <si>
    <t xml:space="preserve">1. Fill in all other fields with valid data.
2. Enter the test data in the name fields.
3. Click Register.</t>
  </si>
  <si>
    <t xml:space="preserve">First Name: Carlos Antonio7
Last Name: Dela Cruz@#</t>
  </si>
  <si>
    <t xml:space="preserve">Registration is blocked. A message on each name field says only letters are allowed.</t>
  </si>
  <si>
    <t xml:space="preserve">TC-LOG-005</t>
  </si>
  <si>
    <t xml:space="preserve">Name with ñ and allowed punctuation</t>
  </si>
  <si>
    <t xml:space="preserve">Low</t>
  </si>
  <si>
    <t xml:space="preserve">First Name: Iñigo Rafael
Last Name: Muñoz-D'Angelo</t>
  </si>
  <si>
    <t xml:space="preserve">The names are accepted and saved exactly as typed, including ñ.</t>
  </si>
  <si>
    <t xml:space="preserve">TC-LOG-006</t>
  </si>
  <si>
    <t xml:space="preserve">Name length at the limits</t>
  </si>
  <si>
    <t xml:space="preserve">1. Fill in all other fields with valid data.
2. Enter each first name in the test data, one per attempt.
3. Click Register.</t>
  </si>
  <si>
    <t xml:space="preserve">1 character: C (reject)
2 characters: Co (accept)
50 characters: Maria Cristina Angelica Bernadette Josefina Leonor (accept)
51 characters: Maria Cristina Angelica Bernadette Josefina Leonora (reject)</t>
  </si>
  <si>
    <t xml:space="preserve">1 and 51 characters are rejected with a length message. 2 and 50 characters are accepted.</t>
  </si>
  <si>
    <t xml:space="preserve">TC-LOG-007</t>
  </si>
  <si>
    <t xml:space="preserve">Email in an invalid format</t>
  </si>
  <si>
    <t xml:space="preserve">1. Fill in all other fields with valid data.
2. Enter each email in the test data, one per attempt.
3. Click Register.</t>
  </si>
  <si>
    <t xml:space="preserve">operations.bilishatidexample.com (no @)
operations.bilishatid@ (no domain)
@example.com (no name)
operations.bilishatid@example (no .com)
operations bilishatid@example.com (space)</t>
  </si>
  <si>
    <t xml:space="preserve">Each value is rejected with a message asking for a valid email address. No account is created.</t>
  </si>
  <si>
    <t xml:space="preserve">TC-LOG-008</t>
  </si>
  <si>
    <t xml:space="preserve">The logistics registration page is open. The logistics account operations@bilishatid.example.com (Bilis Hatid Express Inc.) already exists.</t>
  </si>
  <si>
    <t xml:space="preserve">1. Fill in all other fields with valid data.
2. Enter the existing email.
3. Click Register.</t>
  </si>
  <si>
    <t xml:space="preserve">Email: operations@bilishatid.example.com</t>
  </si>
  <si>
    <t xml:space="preserve">TC-LOG-009</t>
  </si>
  <si>
    <t xml:space="preserve">Registered email typed in capital letters</t>
  </si>
  <si>
    <t xml:space="preserve">1. Fill in all other fields with valid data.
2. Enter the same email in capital letters.
3. Click Register.</t>
  </si>
  <si>
    <t xml:space="preserve">Email: OPERATIONS@BILISHATID.EXAMPLE.COM</t>
  </si>
  <si>
    <t xml:space="preserve">The email is treated as a duplicate. Registration is blocked.</t>
  </si>
  <si>
    <t xml:space="preserve">TC-LOG-010</t>
  </si>
  <si>
    <t xml:space="preserve">Email with spaces before and after</t>
  </si>
  <si>
    <t xml:space="preserve">1. Fill in all other fields with valid data.
2. Type two spaces before and after the email.
3. Click Register.</t>
  </si>
  <si>
    <t xml:space="preserve">Email: "  logistics.test01@example.com  "</t>
  </si>
  <si>
    <t xml:space="preserve">The spaces are removed and the email is saved as logistics.test01@example.com.</t>
  </si>
  <si>
    <t xml:space="preserve">TC-LOG-011</t>
  </si>
  <si>
    <t xml:space="preserve">Mobile number in an invalid format</t>
  </si>
  <si>
    <t xml:space="preserve">1. Fill in all other fields with valid data.
2. Enter each mobile number in the test data, one per attempt.
3. Click Register.</t>
  </si>
  <si>
    <t xml:space="preserve">0917ABC4567 (letters)
0917-123-456 (symbols, too short)
12345678901 (does not start with 09)
02-8123-4567 (landline)</t>
  </si>
  <si>
    <t xml:space="preserve">Each value is rejected with a message asking for a valid mobile number.</t>
  </si>
  <si>
    <t xml:space="preserve">TC-LOG-012</t>
  </si>
  <si>
    <t xml:space="preserve">Mobile number length at the limits</t>
  </si>
  <si>
    <t xml:space="preserve">10 digits: 0917123456 (reject)
11 digits: 09170000001 (accept)
12 digits: 091712345678 (reject)</t>
  </si>
  <si>
    <t xml:space="preserve">10 and 12 digits are rejected with a length message. 11 digits is accepted.</t>
  </si>
  <si>
    <t xml:space="preserve">TC-LOG-013</t>
  </si>
  <si>
    <t xml:space="preserve">Mobile number that is already registered</t>
  </si>
  <si>
    <t xml:space="preserve">The logistics registration page is open. An account already exists with mobile number 09285551234.</t>
  </si>
  <si>
    <t xml:space="preserve">1. Fill in all other fields with valid data.
2. Enter the existing mobile number.
3. Click Register.</t>
  </si>
  <si>
    <t xml:space="preserve">Mobile: 09285551234</t>
  </si>
  <si>
    <t xml:space="preserve">Registration is blocked. A message says the mobile number is already in use.</t>
  </si>
  <si>
    <t xml:space="preserve">TC-LOG-014</t>
  </si>
  <si>
    <t xml:space="preserve">Registered number entered in +63 format</t>
  </si>
  <si>
    <t xml:space="preserve">1. Fill in all other fields with valid data.
2. Enter the same number in +63 format.
3. Click Register.</t>
  </si>
  <si>
    <t xml:space="preserve">Mobile: +639285551234</t>
  </si>
  <si>
    <t xml:space="preserve">The +63 format is recognised as the same number. Registration is blocked. A message says the mobile number is already in use.</t>
  </si>
  <si>
    <t xml:space="preserve">TC-LOG-015</t>
  </si>
  <si>
    <t xml:space="preserve">Password length at the limit</t>
  </si>
  <si>
    <t xml:space="preserve">1. Fill in all other fields with valid data.
2. Enter each password in both password fields, one per attempt.
3. Click Register.</t>
  </si>
  <si>
    <t xml:space="preserve">7 characters: Hati@26 (reject)
8 characters: Hatid@26 (accept)</t>
  </si>
  <si>
    <t xml:space="preserve">7 characters is rejected with a minimum-length message. 8 characters is accepted.</t>
  </si>
  <si>
    <t xml:space="preserve">TC-LOG-016</t>
  </si>
  <si>
    <t xml:space="preserve">Password missing a required character type</t>
  </si>
  <si>
    <t xml:space="preserve">No uppercase: hatid@2026
No lowercase: HATID@2026
No number: Hatid@abcd
No special character: Hatid2026</t>
  </si>
  <si>
    <t xml:space="preserve">Each password is rejected with a message stating the password rule. No account is created.</t>
  </si>
  <si>
    <t xml:space="preserve">TC-LOG-017</t>
  </si>
  <si>
    <t xml:space="preserve">Confirm Password does not match</t>
  </si>
  <si>
    <t xml:space="preserve">1. Fill in all other fields with valid data.
2. Enter the test data in Password and Confirm Password.
3. Click Register.</t>
  </si>
  <si>
    <t xml:space="preserve">Password: Hatid@2026
Confirm Password: Hatid@2027</t>
  </si>
  <si>
    <t xml:space="preserve">Registration is blocked. A message says the passwords do not match.</t>
  </si>
  <si>
    <t xml:space="preserve">TC-LOG-018</t>
  </si>
  <si>
    <t xml:space="preserve">Password is hidden while typing</t>
  </si>
  <si>
    <t xml:space="preserve">1. Type the password.
2. If a show/hide icon is provided, click it twice.</t>
  </si>
  <si>
    <t xml:space="preserve">Password: Hatid@2026</t>
  </si>
  <si>
    <t xml:space="preserve">Characters are hidden as dots by default. The icon reveals the password, then hides it again.</t>
  </si>
  <si>
    <t xml:space="preserve">TC-LOG-019</t>
  </si>
  <si>
    <t xml:space="preserve">Register without accepting the terms</t>
  </si>
  <si>
    <t xml:space="preserve">1. Fill in all fields with valid data.
2. Leave the Terms and Privacy Policy checkbox unticked.
3. Click Register.</t>
  </si>
  <si>
    <t xml:space="preserve">Terms and Privacy Policy: unticked</t>
  </si>
  <si>
    <t xml:space="preserve">Registration is blocked. A message says the Terms and Privacy Policy must be accepted.</t>
  </si>
  <si>
    <t xml:space="preserve">TC-LOG-020</t>
  </si>
  <si>
    <t xml:space="preserve">Click Register several times quickly</t>
  </si>
  <si>
    <t xml:space="preserve">1. Fill in all fields with the Account 2 data from the Test Data sheet.
2. Click Register three times in quick succession.</t>
  </si>
  <si>
    <t xml:space="preserve">Account 2 data (Test Data sheet, column G)</t>
  </si>
  <si>
    <t xml:space="preserve">Only one account is created and only one OTP email is sent. No duplicate-email error page appears.</t>
  </si>
  <si>
    <t xml:space="preserve">TC-LOG-021</t>
  </si>
  <si>
    <t xml:space="preserve">Company Details</t>
  </si>
  <si>
    <t xml:space="preserve">Company name already registered</t>
  </si>
  <si>
    <t xml:space="preserve">1. Fill in all other fields with valid data.
2. Enter the existing company name.
3. Click Register.</t>
  </si>
  <si>
    <t xml:space="preserve">Company Name: Bilis Hatid Express Inc.</t>
  </si>
  <si>
    <t xml:space="preserve">Registration is blocked. A message says the company name is already registered.</t>
  </si>
  <si>
    <t xml:space="preserve">TC-LOG-022</t>
  </si>
  <si>
    <t xml:space="preserve">SEC registration number in an invalid format</t>
  </si>
  <si>
    <t xml:space="preserve">1. Fill in all other fields with valid data.
2. Enter each SEC registration number in the test data, one per attempt.
3. Click Register.</t>
  </si>
  <si>
    <t xml:space="preserve">CS20201234 (8 digits)
202012345CS (letters at the end)
CS2020-12345 (symbol)
12345678901 (no letters)</t>
  </si>
  <si>
    <t xml:space="preserve">Each value is rejected with a message showing the expected format (2 letters followed by 9 digits).</t>
  </si>
  <si>
    <t xml:space="preserve">TC-LOG-023</t>
  </si>
  <si>
    <t xml:space="preserve">SEC registration number already registered</t>
  </si>
  <si>
    <t xml:space="preserve">1. Fill in all other fields with valid data.
2. Enter the existing SEC registration number.
3. Click Register.</t>
  </si>
  <si>
    <t xml:space="preserve">SEC Registration No.: CS202012345</t>
  </si>
  <si>
    <t xml:space="preserve">Registration is blocked. A message says the SEC registration number is already in use.</t>
  </si>
  <si>
    <t xml:space="preserve">TC-LOG-024</t>
  </si>
  <si>
    <t xml:space="preserve">Select more than one service area</t>
  </si>
  <si>
    <t xml:space="preserve">1. Fill in all other fields with valid data.
2. Select the three regions in the test data.
3. Click Register.</t>
  </si>
  <si>
    <t xml:space="preserve">Service Areas: NCR; Region III (Central Luzon); Region IV-A (CALABARZON)</t>
  </si>
  <si>
    <t xml:space="preserve">All three regions are accepted and shown as selected. Registration continues to email verification.</t>
  </si>
  <si>
    <t xml:space="preserve">TC-LOG-025</t>
  </si>
  <si>
    <t xml:space="preserve">Business Details</t>
  </si>
  <si>
    <t xml:space="preserve">TIN in an invalid format or length</t>
  </si>
  <si>
    <t xml:space="preserve">1. Fill in all other fields with valid data.
2. Enter each TIN in the test data, one per attempt.
3. Click Register.</t>
  </si>
  <si>
    <t xml:space="preserve">11 digits: 123-456-789-00 (reject)
12 digits: 345-678-901-000 (accept)
13 digits: 123-456-789-0001 (reject)
Letters: 123-456-78A-000 (reject)</t>
  </si>
  <si>
    <t xml:space="preserve">Only the 12-digit TIN is accepted. The other values are rejected with a message showing the format 000-000-000-000.</t>
  </si>
  <si>
    <t xml:space="preserve">TC-LOG-026</t>
  </si>
  <si>
    <t xml:space="preserve">TIN that is already registered</t>
  </si>
  <si>
    <t xml:space="preserve">The logistics registration page is open. Another account already uses TIN 234-567-890-000.</t>
  </si>
  <si>
    <t xml:space="preserve">1. Fill in all other fields with valid data.
2. Enter the existing TIN.
3. Click Register.</t>
  </si>
  <si>
    <t xml:space="preserve">TIN: 234-567-890-000</t>
  </si>
  <si>
    <t xml:space="preserve">Registration is blocked. A message says the TIN is already registered.</t>
  </si>
  <si>
    <t xml:space="preserve">TC-LOG-027</t>
  </si>
  <si>
    <t xml:space="preserve">Company Address</t>
  </si>
  <si>
    <t xml:space="preserve">Address dropdowns depend on each other</t>
  </si>
  <si>
    <t xml:space="preserve">1. Select the Region, Province, City and Barangay in the test data.
2. Change the Region to Region VII (Central Visayas).
3. Open the Province dropdown.</t>
  </si>
  <si>
    <t xml:space="preserve">Region: National Capital Region (NCR)
Province: Metro Manila
City / Municipality: Pasig City
Barangay: Kapitolyo</t>
  </si>
  <si>
    <t xml:space="preserve">After the change, Province, City and Barangay are cleared. The Province list shows only Region VII provinces such as Cebu and Bohol. Pasig City and Kapitolyo can no longer be selected.</t>
  </si>
  <si>
    <t xml:space="preserve">TC-LOG-028</t>
  </si>
  <si>
    <t xml:space="preserve">Postal code length and format</t>
  </si>
  <si>
    <t xml:space="preserve">1. Fill in all other fields with valid data.
2. Enter each postal code in the test data, one per attempt.
3. Click Register.</t>
  </si>
  <si>
    <t xml:space="preserve">3 digits: 160 (reject)
4 digits: 1603 (accept)
5 digits: 16030 (reject)
Letters: 16A3 (reject)</t>
  </si>
  <si>
    <t xml:space="preserve">Only the 4-digit postal code is accepted. The other values are rejected with a message asking for a 4-digit postal code.</t>
  </si>
  <si>
    <t xml:space="preserve">TC-LOG-029</t>
  </si>
  <si>
    <t xml:space="preserve">Document Upload</t>
  </si>
  <si>
    <t xml:space="preserve">Upload documents in each accepted file type</t>
  </si>
  <si>
    <t xml:space="preserve">1. Fill in all other fields with valid data.
2. Upload the files in the test data.
3. Click Register.</t>
  </si>
  <si>
    <t xml:space="preserve">SEC Certificate: sec_certificate.pdf (1.0 MB)
BIR Form 2303: bir_2303.pdf (1.1 MB)
Mayor's / Business Permit: mayors_permit.pdf (1.3 MB)
Valid ID: govt_id_front.jpg (1.2 MB), then govt_id_front.png (2.4 MB)</t>
  </si>
  <si>
    <t xml:space="preserve">Each file is accepted and its name or preview is shown. Registration continues to email verification.</t>
  </si>
  <si>
    <t xml:space="preserve">TC-LOG-030</t>
  </si>
  <si>
    <t xml:space="preserve">Upload a file type that is not accepted</t>
  </si>
  <si>
    <t xml:space="preserve">1. Fill in all other fields with valid data.
2. Try to upload each file in the test data to Mayor's / Business Permit, one per attempt.
3. Click Register.</t>
  </si>
  <si>
    <t xml:space="preserve">price_list.docx (320 KB)
store_banner.gif (480 KB)
installer.exe (2.1 MB)</t>
  </si>
  <si>
    <t xml:space="preserve">Each file is rejected with a message listing the accepted types (JPG, PNG, PDF). No account is created.</t>
  </si>
  <si>
    <t xml:space="preserve">TC-LOG-031</t>
  </si>
  <si>
    <t xml:space="preserve">File size at the limit</t>
  </si>
  <si>
    <t xml:space="preserve">1. Fill in all other fields with valid data.
2. Upload each file in the test data to Mayor's / Business Permit, one per attempt.
3. Click Register.</t>
  </si>
  <si>
    <t xml:space="preserve">size_4.9MB.jpg (accept)
size_5.0MB.jpg, exactly 5,120 KB (accept)
size_5.1MB.jpg (reject)</t>
  </si>
  <si>
    <t xml:space="preserve">The 4.9 MB and 5.0 MB files are accepted. The 5.1 MB file is rejected with a maximum-size message.</t>
  </si>
  <si>
    <t xml:space="preserve">TC-LOG-032</t>
  </si>
  <si>
    <t xml:space="preserve">Email Verification (OTP)</t>
  </si>
  <si>
    <t xml:space="preserve">Verify with the correct OTP</t>
  </si>
  <si>
    <t xml:space="preserve">The logistics account operations@bilishatid.example.com was just registered and is Unverified. The verification page is open and the OTP email has been read from the mail catcher.</t>
  </si>
  <si>
    <t xml:space="preserve">1. Enter the OTP from the email within 5 minutes.
2. Click Verify.</t>
  </si>
  <si>
    <t xml:space="preserve">OTP: the code in the email (for example 482913)</t>
  </si>
  <si>
    <t xml:space="preserve">Verification succeeds. The account status changes from Unverified to Pending Approval. A message says the application is waiting for admin approval.</t>
  </si>
  <si>
    <t xml:space="preserve">A9, A12</t>
  </si>
  <si>
    <t xml:space="preserve">TC-LOG-033</t>
  </si>
  <si>
    <t xml:space="preserve">Verify with an incorrect OTP</t>
  </si>
  <si>
    <t xml:space="preserve">1. Enter a code different from the one in the email.
2. Click Verify.</t>
  </si>
  <si>
    <t xml:space="preserve">OTP: 000000 (use 111111 if the real code is 000000)</t>
  </si>
  <si>
    <t xml:space="preserve">Verification fails with an invalid-code message. The account stays Unverified.</t>
  </si>
  <si>
    <t xml:space="preserve">TC-LOG-034</t>
  </si>
  <si>
    <t xml:space="preserve">OTP in the wrong format</t>
  </si>
  <si>
    <t xml:space="preserve">1. Enter each value in the test data, one per attempt.
2. Click Verify.</t>
  </si>
  <si>
    <t xml:space="preserve">5 digits: 48291
7 digits: 4829137
Letters: 48A91B
Blank</t>
  </si>
  <si>
    <t xml:space="preserve">Each value is rejected. The account stays Unverified.</t>
  </si>
  <si>
    <t xml:space="preserve">TC-LOG-035</t>
  </si>
  <si>
    <t xml:space="preserve">Verify with an expired OTP</t>
  </si>
  <si>
    <t xml:space="preserve">1. Wait until 5 minutes and 1 second have passed since the OTP was sent.
2. Enter the OTP from the email.
3. Click Verify.</t>
  </si>
  <si>
    <t xml:space="preserve">OTP: the correct code, entered at 5:01 or later</t>
  </si>
  <si>
    <t xml:space="preserve">Verification fails with a message that the code has expired, and a Resend option is offered. The account stays Unverified.</t>
  </si>
  <si>
    <t xml:space="preserve">TC-LOG-036</t>
  </si>
  <si>
    <t xml:space="preserve">Resend OTP</t>
  </si>
  <si>
    <t xml:space="preserve">1. Click Resend OTP.
2. Enter the first code and click Verify.
3. Enter the second code and click Verify.</t>
  </si>
  <si>
    <t xml:space="preserve">First code (for example 482913), then the second code (for example 907356)</t>
  </si>
  <si>
    <t xml:space="preserve">A new OTP email arrives. The first code is rejected. The second code is accepted and the account is verified.</t>
  </si>
  <si>
    <t xml:space="preserve">TC-LOG-037</t>
  </si>
  <si>
    <t xml:space="preserve">Log in before verifying the email</t>
  </si>
  <si>
    <t xml:space="preserve">The logistics account operations@bilishatid.example.com exists with status Unverified.</t>
  </si>
  <si>
    <t xml:space="preserve">1. Open the login page.
2. Log in with the unverified account.</t>
  </si>
  <si>
    <t xml:space="preserve">Email: operations@bilishatid.example.com
Password: Hatid@2026</t>
  </si>
  <si>
    <t xml:space="preserve">The user is not given access. The verification page or a message asking to verify the email is shown.</t>
  </si>
  <si>
    <t xml:space="preserve">TC-LOG-038</t>
  </si>
  <si>
    <t xml:space="preserve">Admin Approval</t>
  </si>
  <si>
    <t xml:space="preserve">Pending logistics logs in</t>
  </si>
  <si>
    <t xml:space="preserve">The logistics account operations@bilishatid.example.com is verified and has status Pending Approval.</t>
  </si>
  <si>
    <t xml:space="preserve">1. Log in with the pending logistics account.
2. Try to open the logistics dashboard.</t>
  </si>
  <si>
    <t xml:space="preserve">A notice says the application is under review. The logistics cannot add riders or accept deliveries.</t>
  </si>
  <si>
    <t xml:space="preserve">TC-LOG-039</t>
  </si>
  <si>
    <t xml:space="preserve">New application appears in the admin's pending list</t>
  </si>
  <si>
    <t xml:space="preserve">The logistics account operations@bilishatid.example.com has status Pending Approval. An admin account is logged in.</t>
  </si>
  <si>
    <t xml:space="preserve">1. Open the pending logistics applications.
2. Open the application of Bilis Hatid Express Inc..
3. Open each uploaded document.</t>
  </si>
  <si>
    <t xml:space="preserve">Applicant: Bilis Hatid Express Inc.
Email: operations@bilishatid.example.com</t>
  </si>
  <si>
    <t xml:space="preserve">The application is listed as Pending. All details match the Test Data sheet, and each uploaded document opens correctly.</t>
  </si>
  <si>
    <t xml:space="preserve">TC-LOG-040</t>
  </si>
  <si>
    <t xml:space="preserve">Admin approves the application</t>
  </si>
  <si>
    <t xml:space="preserve">The application of Bilis Hatid Express Inc. is Pending Approval. An admin account is logged in.</t>
  </si>
  <si>
    <t xml:space="preserve">1. Open the application.
2. Click Approve and confirm.
3. Log in with the logistics account.</t>
  </si>
  <si>
    <t xml:space="preserve">Applicant: Bilis Hatid Express Inc.
Email: operations@bilishatid.example.com
Password: Hatid@2026</t>
  </si>
  <si>
    <t xml:space="preserve">Status changes to Approved. An approval email is sent to operations@bilishatid.example.com. On login, the logistics dashboard opens.</t>
  </si>
  <si>
    <t xml:space="preserve">TC-LOG-041</t>
  </si>
  <si>
    <t xml:space="preserve">Admin rejects the application with a reason</t>
  </si>
  <si>
    <t xml:space="preserve">A second logistics application is Pending Approval (use the Account 2 data). An admin account is logged in.</t>
  </si>
  <si>
    <t xml:space="preserve">1. Open the application.
2. Click Reject, type the reason, and confirm.
3. Log in with the logistics account.</t>
  </si>
  <si>
    <t xml:space="preserve">Reason: Mayor's permit expired on 12/31/2025.</t>
  </si>
  <si>
    <t xml:space="preserve">Status changes to Rejected. The logistics receives an email containing the reason. On login, the reason is shown and the logistics dashboard is not available.</t>
  </si>
  <si>
    <t xml:space="preserve">TC-LOG-042</t>
  </si>
  <si>
    <t xml:space="preserve">Rejected logistics corrects and resubmits</t>
  </si>
  <si>
    <t xml:space="preserve">The logistics application from the previous case has status Rejected.</t>
  </si>
  <si>
    <t xml:space="preserve">1. Log in with the rejected logistics account.
2. Replace the Mayor's / Business Permit.
3. Click Resubmit.</t>
  </si>
  <si>
    <t xml:space="preserve">Mayor's / Business Permit: mayors_permit_2026.pdf (1.2 MB)</t>
  </si>
  <si>
    <t xml:space="preserve">Status returns to Pending Approval and the application appears again in the admin's pending list with the new document.</t>
  </si>
  <si>
    <t xml:space="preserve">TC-LOG-043</t>
  </si>
  <si>
    <t xml:space="preserve">Access Control</t>
  </si>
  <si>
    <t xml:space="preserve">Non-admin opens the approval page</t>
  </si>
  <si>
    <t xml:space="preserve">The buyer account juanmiguel.delacruz@example.com is logged in.</t>
  </si>
  <si>
    <t xml:space="preserve">1. Paste the address of the admin's logistics applications page into the browser.
2. Press Enter.</t>
  </si>
  <si>
    <t xml:space="preserve">Admin page for logistics applications (copy the address while logged in as admin)</t>
  </si>
  <si>
    <t xml:space="preserve">Access is denied (error 403 or redirect). No application data is shown and no Approve or Reject action is possible.</t>
  </si>
  <si>
    <t xml:space="preserve">TC-LOG-044</t>
  </si>
  <si>
    <t xml:space="preserve">Open another role's pages</t>
  </si>
  <si>
    <t xml:space="preserve">The Approved logistics account operations@bilishatid.example.com is logged in.</t>
  </si>
  <si>
    <t xml:space="preserve">1. Paste the address of each dashboard in the test data into the browser, one at a time.</t>
  </si>
  <si>
    <t xml:space="preserve">Admin dashboard
Seller dashboard
Rider dashboard</t>
  </si>
  <si>
    <t xml:space="preserve">Access is denied each time (error 403 or redirect). No data from the other role is shown.</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</si>
</sst>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
      <i val="true"/>
      <sz val="10"/>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5" fillId="3" borderId="1" xfId="0" applyFont="true" applyBorder="true" applyAlignment="true" applyProtection="true">
      <alignment horizontal="general" vertical="bottom" textRotation="0" wrapText="false" indent="0" shrinkToFit="false"/>
      <protection locked="true" hidden="false"/>
    </xf>
    <xf numFmtId="164" fontId="8" fillId="4" borderId="1" xfId="0" applyFont="true" applyBorder="true" applyAlignment="true" applyProtection="true">
      <alignment horizontal="center" vertical="top" textRotation="0" wrapText="true" indent="0" shrinkToFit="false"/>
      <protection locked="true" hidden="false"/>
    </xf>
    <xf numFmtId="164" fontId="7" fillId="0" borderId="1" xfId="0" applyFont="true" applyBorder="true" applyAlignment="true" applyProtection="true">
      <alignment horizontal="left" vertical="top" textRotation="0" wrapText="false" indent="0" shrinkToFit="false"/>
      <protection locked="true" hidden="false"/>
    </xf>
    <xf numFmtId="164" fontId="5" fillId="0" borderId="1" xfId="0" applyFont="true" applyBorder="true" applyAlignment="true" applyProtection="true">
      <alignment horizontal="center" vertical="top" textRotation="0" wrapText="false" indent="0" shrinkToFit="false"/>
      <protection locked="true" hidden="false"/>
    </xf>
    <xf numFmtId="165" fontId="5" fillId="0" borderId="1" xfId="0" applyFont="true" applyBorder="true" applyAlignment="true" applyProtection="true">
      <alignment horizontal="center" vertical="top" textRotation="0" wrapText="false" indent="0" shrinkToFit="false"/>
      <protection locked="true" hidden="false"/>
    </xf>
    <xf numFmtId="164" fontId="7" fillId="2" borderId="1" xfId="0" applyFont="true" applyBorder="true" applyAlignment="true" applyProtection="true">
      <alignment horizontal="left" vertical="top" textRotation="0" wrapText="false" indent="0" shrinkToFit="false"/>
      <protection locked="true" hidden="false"/>
    </xf>
    <xf numFmtId="164" fontId="7" fillId="2" borderId="1" xfId="0" applyFont="true" applyBorder="true" applyAlignment="true" applyProtection="true">
      <alignment horizontal="center" vertical="top" textRotation="0" wrapText="false" indent="0" shrinkToFit="false"/>
      <protection locked="true" hidden="false"/>
    </xf>
    <xf numFmtId="165" fontId="7" fillId="2"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9" fillId="3"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5" fillId="2" borderId="1"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center" vertical="top" textRotation="0" wrapText="true" indent="0" shrinkToFit="false"/>
      <protection locked="true" hidden="false"/>
    </xf>
    <xf numFmtId="164" fontId="7" fillId="0" borderId="1" xfId="0" applyFont="true" applyBorder="true" applyAlignment="true" applyProtection="true">
      <alignment horizontal="center" vertical="top" textRotation="0" wrapText="true" indent="0" shrinkToFit="false"/>
      <protection locked="true" hidden="false"/>
    </xf>
    <xf numFmtId="164" fontId="5" fillId="3" borderId="1" xfId="0" applyFont="true" applyBorder="true" applyAlignment="true" applyProtection="true">
      <alignment horizontal="general" vertical="top" textRotation="0" wrapText="true" indent="0" shrinkToFit="false"/>
      <protection locked="true" hidden="false"/>
    </xf>
    <xf numFmtId="164" fontId="5" fillId="3" borderId="1" xfId="0" applyFont="true" applyBorder="true" applyAlignment="true" applyProtection="tru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8A4B00"/>
        <sz val="10"/>
      </font>
      <fill>
        <patternFill>
          <bgColor rgb="FFFFE0B2"/>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E0B2"/>
      <rgbColor rgb="FF3366FF"/>
      <rgbColor rgb="FF33CCCC"/>
      <rgbColor rgb="FF99CC00"/>
      <rgbColor rgb="FFFFCC00"/>
      <rgbColor rgb="FFFF9900"/>
      <rgbColor rgb="FFFF6600"/>
      <rgbColor rgb="FF666699"/>
      <rgbColor rgb="FF969696"/>
      <rgbColor rgb="FF1F3864"/>
      <rgbColor rgb="FF339966"/>
      <rgbColor rgb="FF003300"/>
      <rgbColor rgb="FF333300"/>
      <rgbColor rgb="FF8A4B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26"/>
    <col collapsed="false" customWidth="true" hidden="false" outlineLevel="0" max="4" min="2" style="1" width="34"/>
    <col collapsed="false" customWidth="true" hidden="false" outlineLevel="0" max="6" min="5" style="1" width="14"/>
    <col collapsed="false" customWidth="true" hidden="false" outlineLevel="0" max="7" min="7" style="1" width="30"/>
  </cols>
  <sheetData>
    <row r="1" customFormat="false" ht="17.35" hidden="false" customHeight="false" outlineLevel="0" collapsed="false">
      <c r="A1" s="2" t="s">
        <v>0</v>
      </c>
    </row>
    <row r="2" customFormat="false" ht="15" hidden="false" customHeight="false" outlineLevel="0" collapsed="false">
      <c r="A2" s="3" t="s">
        <v>1</v>
      </c>
    </row>
    <row r="4" customFormat="false" ht="15" hidden="false" customHeight="false" outlineLevel="0" collapsed="false">
      <c r="A4" s="4" t="s">
        <v>2</v>
      </c>
    </row>
    <row r="5" customFormat="false" ht="15" hidden="false" customHeight="false" outlineLevel="0" collapsed="false">
      <c r="A5" s="5" t="s">
        <v>3</v>
      </c>
      <c r="B5" s="6" t="inlineStr">
        <is>
          <t xml:space="preserve">Loved-IT multi-vendor marketplace (loved-it.shop): React web app and Laravel API</t>
        </is>
      </c>
    </row>
    <row r="6" customFormat="false" ht="15" hidden="false" customHeight="false" outlineLevel="0" collapsed="false">
      <c r="A6" s="5" t="s">
        <v>4</v>
      </c>
      <c r="B6" s="6" t="inlineStr">
        <is>
          <t xml:space="preserve">Branch king/courier-companies, commit 335f7c5 (17 Oct 2026)</t>
        </is>
      </c>
    </row>
    <row r="7" customFormat="false" ht="23.85" hidden="false" customHeight="false" outlineLevel="0" collapsed="false">
      <c r="A7" s="5" t="s">
        <v>5</v>
      </c>
      <c r="B7" s="6" t="inlineStr">
        <is>
          <t xml:space="preserve">Microsoft Edge (Chromium) 1366×900 on Windows 11, driven by Puppeteer; an isolated copy of the system (own database, file storage and mail log) on 127.0.0.1, with the same PHP settings as the live server</t>
        </is>
      </c>
    </row>
    <row r="8" customFormat="false" ht="15" hidden="false" customHeight="false" outlineLevel="0" collapsed="false">
      <c r="A8" s="5" t="s">
        <v>6</v>
      </c>
      <c r="B8" s="6" t="inlineStr">
        <is>
          <t xml:space="preserve">Automated black-box run by Claude Code (AI assistant) for the Basta Corp. team</t>
        </is>
      </c>
    </row>
    <row r="9" customFormat="false" ht="15" hidden="false" customHeight="false" outlineLevel="0" collapsed="false">
      <c r="A9" s="5" t="s">
        <v>7</v>
      </c>
      <c r="B9" s="6" t="inlineStr">
        <is>
          <t xml:space="preserve">10/17/2026 – 10/18/2026</t>
        </is>
      </c>
    </row>
    <row r="11" customFormat="false" ht="15" hidden="false" customHeight="false" outlineLevel="0" collapsed="false">
      <c r="A11" s="4" t="s">
        <v>8</v>
      </c>
    </row>
    <row r="12" customFormat="false" ht="15" hidden="false" customHeight="false" outlineLevel="0" collapsed="false">
      <c r="A12" s="7" t="s">
        <v>9</v>
      </c>
      <c r="B12" s="7" t="s">
        <v>10</v>
      </c>
      <c r="C12" s="7" t="s">
        <v>11</v>
      </c>
      <c r="D12" s="7" t="s">
        <v>12</v>
      </c>
      <c r="E12" s="7" t="s">
        <v>13</v>
      </c>
      <c r="F12" s="7" t="s">
        <v>14</v>
      </c>
      <c r="G12" s="7" t="s">
        <v>15</v>
      </c>
    </row>
    <row r="13" customFormat="false" ht="15" hidden="false" customHeight="false" outlineLevel="0" collapsed="false">
      <c r="A13" s="8" t="s">
        <v>16</v>
      </c>
      <c r="B13" s="9" t="e">
        <f aca="false">COUNTA(#REF!)</f>
        <v>#REF!</v>
      </c>
      <c r="C13" s="9" t="e">
        <f aca="false">COUNTIF(#REF!,"Pass")</f>
        <v>#REF!</v>
      </c>
      <c r="D13" s="9" t="e">
        <f aca="false">COUNTIF(#REF!,"Fail")</f>
        <v>#REF!</v>
      </c>
      <c r="E13" s="9" t="e">
        <f aca="false">COUNTIF(#REF!,"Blocked")</f>
        <v>#REF!</v>
      </c>
      <c r="F13" s="9" t="e">
        <f aca="false">COUNTIF(#REF!,"Not Run")</f>
        <v>#REF!</v>
      </c>
      <c r="G13" s="10" t="e">
        <f aca="false">IF(B13=0,0,C13/B13)</f>
        <v>#REF!</v>
      </c>
    </row>
    <row r="14" customFormat="false" ht="15" hidden="false" customHeight="false" outlineLevel="0" collapsed="false">
      <c r="A14" s="8" t="s">
        <v>17</v>
      </c>
      <c r="B14" s="9" t="e">
        <f aca="false">COUNTA(#REF!)</f>
        <v>#REF!</v>
      </c>
      <c r="C14" s="9" t="e">
        <f aca="false">COUNTIF(#REF!,"Pass")</f>
        <v>#REF!</v>
      </c>
      <c r="D14" s="9" t="e">
        <f aca="false">COUNTIF(#REF!,"Fail")</f>
        <v>#REF!</v>
      </c>
      <c r="E14" s="9" t="e">
        <f aca="false">COUNTIF(#REF!,"Blocked")</f>
        <v>#REF!</v>
      </c>
      <c r="F14" s="9" t="e">
        <f aca="false">COUNTIF(#REF!,"Not Run")</f>
        <v>#REF!</v>
      </c>
      <c r="G14" s="10" t="e">
        <f aca="false">IF(B14=0,0,C14/B14)</f>
        <v>#REF!</v>
      </c>
    </row>
    <row r="15" customFormat="false" ht="15" hidden="false" customHeight="false" outlineLevel="0" collapsed="false">
      <c r="A15" s="8" t="s">
        <v>18</v>
      </c>
      <c r="B15" s="9" t="n">
        <f aca="false">COUNTA(Logistics!$A$2:$A$200)</f>
        <v>44</v>
      </c>
      <c r="C15" s="9" t="n">
        <f aca="false">COUNTIF(Logistics!$L$2:$L$200,"Pass")</f>
        <v>0</v>
      </c>
      <c r="D15" s="9" t="n">
        <f aca="false">COUNTIF(Logistics!$L$2:$L$200,"Fail")</f>
        <v>0</v>
      </c>
      <c r="E15" s="9" t="n">
        <f aca="false">COUNTIF(Logistics!$L$2:$L$200,"Blocked")</f>
        <v>0</v>
      </c>
      <c r="F15" s="9" t="n">
        <f aca="false">COUNTIF(Logistics!$L$2:$L$200,"Not Run")</f>
        <v>44</v>
      </c>
      <c r="G15" s="10" t="n">
        <f aca="false">IF(B15=0,0,C15/B15)</f>
        <v>0</v>
      </c>
    </row>
    <row r="16" customFormat="false" ht="15" hidden="false" customHeight="false" outlineLevel="0" collapsed="false">
      <c r="A16" s="8" t="s">
        <v>19</v>
      </c>
      <c r="B16" s="9" t="e">
        <f aca="false">COUNTA(#REF!)</f>
        <v>#REF!</v>
      </c>
      <c r="C16" s="9" t="e">
        <f aca="false">COUNTIF(#REF!,"Pass")</f>
        <v>#REF!</v>
      </c>
      <c r="D16" s="9" t="e">
        <f aca="false">COUNTIF(#REF!,"Fail")</f>
        <v>#REF!</v>
      </c>
      <c r="E16" s="9" t="e">
        <f aca="false">COUNTIF(#REF!,"Blocked")</f>
        <v>#REF!</v>
      </c>
      <c r="F16" s="9" t="e">
        <f aca="false">COUNTIF(#REF!,"Not Run")</f>
        <v>#REF!</v>
      </c>
      <c r="G16" s="10" t="e">
        <f aca="false">IF(B16=0,0,C16/B16)</f>
        <v>#REF!</v>
      </c>
    </row>
    <row r="17" customFormat="false" ht="15" hidden="false" customHeight="false" outlineLevel="0" collapsed="false">
      <c r="A17" s="11" t="s">
        <v>20</v>
      </c>
      <c r="B17" s="12" t="e">
        <f aca="false">SUM(B13:B16)</f>
        <v>#REF!</v>
      </c>
      <c r="C17" s="12" t="e">
        <f aca="false">SUM(C13:C16)</f>
        <v>#REF!</v>
      </c>
      <c r="D17" s="12" t="e">
        <f aca="false">SUM(D13:D16)</f>
        <v>#REF!</v>
      </c>
      <c r="E17" s="12" t="e">
        <f aca="false">SUM(E13:E16)</f>
        <v>#REF!</v>
      </c>
      <c r="F17" s="12" t="e">
        <f aca="false">SUM(F13:F16)</f>
        <v>#REF!</v>
      </c>
      <c r="G17" s="13" t="e">
        <f aca="false">IF(B17=0,0,C17/B17)</f>
        <v>#REF!</v>
      </c>
    </row>
    <row r="19" customFormat="false" ht="15" hidden="false" customHeight="false" outlineLevel="0" collapsed="false">
      <c r="A19" s="4" t="s">
        <v>21</v>
      </c>
    </row>
    <row r="20" customFormat="false" ht="15.75" hidden="false" customHeight="true" outlineLevel="0" collapsed="false">
      <c r="A20" s="14" t="s">
        <v>22</v>
      </c>
      <c r="B20" s="14"/>
      <c r="C20" s="14"/>
      <c r="D20" s="14"/>
      <c r="E20" s="14"/>
      <c r="F20" s="14"/>
      <c r="G20" s="14"/>
    </row>
    <row r="21" customFormat="false" ht="30" hidden="false" customHeight="true" outlineLevel="0" collapsed="false">
      <c r="A21" s="14" t="s">
        <v>23</v>
      </c>
      <c r="B21" s="14"/>
      <c r="C21" s="14"/>
      <c r="D21" s="14"/>
      <c r="E21" s="14"/>
      <c r="F21" s="14"/>
      <c r="G21" s="14"/>
    </row>
    <row r="22" customFormat="false" ht="30" hidden="false" customHeight="true" outlineLevel="0" collapsed="false">
      <c r="A22" s="14" t="s">
        <v>24</v>
      </c>
      <c r="B22" s="14"/>
      <c r="C22" s="14"/>
      <c r="D22" s="14"/>
      <c r="E22" s="14"/>
      <c r="F22" s="14"/>
      <c r="G22" s="14"/>
    </row>
    <row r="23" customFormat="false" ht="30" hidden="false" customHeight="true" outlineLevel="0" collapsed="false">
      <c r="A23" s="14" t="s">
        <v>25</v>
      </c>
      <c r="B23" s="14"/>
      <c r="C23" s="14"/>
      <c r="D23" s="14"/>
      <c r="E23" s="14"/>
      <c r="F23" s="14"/>
      <c r="G23" s="14"/>
    </row>
    <row r="24" customFormat="false" ht="15.75" hidden="false" customHeight="true" outlineLevel="0" collapsed="false">
      <c r="A24" s="14" t="s">
        <v>26</v>
      </c>
      <c r="B24" s="14"/>
      <c r="C24" s="14"/>
      <c r="D24" s="14"/>
      <c r="E24" s="14"/>
      <c r="F24" s="14"/>
      <c r="G24" s="14"/>
    </row>
    <row r="25" customFormat="false" ht="15.75" hidden="false" customHeight="true" outlineLevel="0" collapsed="false">
      <c r="A25" s="14" t="s">
        <v>27</v>
      </c>
      <c r="B25" s="14"/>
      <c r="C25" s="14"/>
      <c r="D25" s="14"/>
      <c r="E25" s="14"/>
      <c r="F25" s="14"/>
      <c r="G25" s="14"/>
    </row>
    <row r="26" customFormat="false" ht="30" hidden="false" customHeight="true" outlineLevel="0" collapsed="false">
      <c r="A26" s="14" t="s">
        <v>28</v>
      </c>
      <c r="B26" s="14"/>
      <c r="C26" s="14"/>
      <c r="D26" s="14"/>
      <c r="E26" s="14"/>
      <c r="F26" s="14"/>
      <c r="G26" s="14"/>
    </row>
    <row r="27" customFormat="false" ht="15.75" hidden="false" customHeight="true" outlineLevel="0" collapsed="false">
      <c r="A27" s="14" t="s">
        <v>29</v>
      </c>
      <c r="B27" s="14"/>
      <c r="C27" s="14"/>
      <c r="D27" s="14"/>
      <c r="E27" s="14"/>
      <c r="F27" s="14"/>
      <c r="G27" s="14"/>
    </row>
    <row r="29" customFormat="false" ht="15" hidden="false" customHeight="false" outlineLevel="0" collapsed="false">
      <c r="A29" s="4" t="s">
        <v>30</v>
      </c>
    </row>
    <row r="30" customFormat="false" ht="15" hidden="false" customHeight="false" outlineLevel="0" collapsed="false">
      <c r="A30" s="7" t="s">
        <v>31</v>
      </c>
      <c r="B30" s="7" t="s">
        <v>32</v>
      </c>
      <c r="C30" s="7" t="s">
        <v>33</v>
      </c>
      <c r="D30" s="7" t="s">
        <v>34</v>
      </c>
      <c r="E30" s="7" t="s">
        <v>35</v>
      </c>
      <c r="F30" s="7" t="s">
        <v>36</v>
      </c>
    </row>
    <row r="31" customFormat="false" ht="54" hidden="false" customHeight="true" outlineLevel="0" collapsed="false">
      <c r="A31" s="15" t="s">
        <v>37</v>
      </c>
      <c r="B31" s="15" t="s">
        <v>38</v>
      </c>
      <c r="C31" s="15" t="s">
        <v>39</v>
      </c>
      <c r="D31" s="16" t="s">
        <v>40</v>
      </c>
      <c r="E31" s="16" t="s">
        <v>12</v>
      </c>
      <c r="F31" s="16" t="s">
        <v>41</v>
      </c>
    </row>
    <row r="34" customFormat="false" ht="15" hidden="false" customHeight="false" outlineLevel="0" collapsed="false">
      <c r="A34" s="4" t="s">
        <v>42</v>
      </c>
    </row>
    <row r="35" customFormat="false" ht="15" hidden="false" customHeight="true" outlineLevel="0" collapsed="false">
      <c r="A35" s="5" t="s">
        <v>43</v>
      </c>
      <c r="B35" s="17" t="s">
        <v>44</v>
      </c>
      <c r="C35" s="17"/>
      <c r="D35" s="17"/>
      <c r="E35" s="17"/>
      <c r="F35" s="17"/>
      <c r="G35" s="17"/>
    </row>
    <row r="36" customFormat="false" ht="15" hidden="false" customHeight="true" outlineLevel="0" collapsed="false">
      <c r="A36" s="5" t="s">
        <v>45</v>
      </c>
      <c r="B36" s="17" t="s">
        <v>46</v>
      </c>
      <c r="C36" s="17"/>
      <c r="D36" s="17"/>
      <c r="E36" s="17"/>
      <c r="F36" s="17"/>
      <c r="G36" s="17"/>
    </row>
    <row r="37" customFormat="false" ht="15" hidden="false" customHeight="true" outlineLevel="0" collapsed="false">
      <c r="A37" s="5" t="s">
        <v>47</v>
      </c>
      <c r="B37" s="17" t="s">
        <v>48</v>
      </c>
      <c r="C37" s="17"/>
      <c r="D37" s="17"/>
      <c r="E37" s="17"/>
      <c r="F37" s="17"/>
      <c r="G37" s="17"/>
    </row>
    <row r="38" customFormat="false" ht="15" hidden="false" customHeight="true" outlineLevel="0" collapsed="false">
      <c r="A38" s="5" t="s">
        <v>49</v>
      </c>
      <c r="B38" s="17" t="s">
        <v>50</v>
      </c>
      <c r="C38" s="17"/>
      <c r="D38" s="17"/>
      <c r="E38" s="17"/>
      <c r="F38" s="17"/>
      <c r="G38" s="17"/>
    </row>
    <row r="39" customFormat="false" ht="15" hidden="false" customHeight="true" outlineLevel="0" collapsed="false">
      <c r="A39" s="5" t="s">
        <v>51</v>
      </c>
      <c r="B39" s="17" t="s">
        <v>52</v>
      </c>
      <c r="C39" s="17"/>
      <c r="D39" s="17"/>
      <c r="E39" s="17"/>
      <c r="F39" s="17"/>
      <c r="G39" s="17"/>
    </row>
    <row r="40" customFormat="false" ht="15" hidden="false" customHeight="true" outlineLevel="0" collapsed="false">
      <c r="A40" s="5" t="s">
        <v>53</v>
      </c>
      <c r="B40" s="17" t="s">
        <v>54</v>
      </c>
      <c r="C40" s="17"/>
      <c r="D40" s="17"/>
      <c r="E40" s="17"/>
      <c r="F40" s="17"/>
      <c r="G40" s="17"/>
    </row>
  </sheetData>
  <mergeCells count="14">
    <mergeCell ref="A20:G20"/>
    <mergeCell ref="A21:G21"/>
    <mergeCell ref="A22:G22"/>
    <mergeCell ref="A23:G23"/>
    <mergeCell ref="A24:G24"/>
    <mergeCell ref="A25:G25"/>
    <mergeCell ref="A26:G26"/>
    <mergeCell ref="A27:G27"/>
    <mergeCell ref="B35:G35"/>
    <mergeCell ref="B36:G36"/>
    <mergeCell ref="B37:G37"/>
    <mergeCell ref="B38:G38"/>
    <mergeCell ref="B39:G39"/>
    <mergeCell ref="B40:G4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359375" defaultRowHeight="15" customHeight="false" zeroHeight="false" outlineLevelRow="0" outlineLevelCol="0"/>
  <cols>
    <col collapsed="false" customWidth="true" hidden="false" outlineLevel="0" max="1" min="1" style="1" width="11"/>
    <col collapsed="false" customWidth="true" hidden="false" outlineLevel="0" max="2" min="2" style="1" width="36"/>
    <col collapsed="false" customWidth="true" hidden="false" outlineLevel="0" max="3" min="3" style="1" width="22"/>
    <col collapsed="false" customWidth="true" hidden="false" outlineLevel="0" max="4" min="4" style="1" width="14"/>
    <col collapsed="false" customWidth="true" hidden="false" outlineLevel="0" max="5" min="5" style="1" width="42"/>
    <col collapsed="false" customWidth="true" hidden="false" outlineLevel="0" max="7" min="6" style="1" width="38"/>
  </cols>
  <sheetData>
    <row r="1" customFormat="false" ht="17.35" hidden="false" customHeight="false" outlineLevel="0" collapsed="false">
      <c r="A1" s="2" t="s">
        <v>55</v>
      </c>
    </row>
    <row r="2" customFormat="false" ht="30" hidden="false" customHeight="true" outlineLevel="0" collapsed="false">
      <c r="A2" s="14" t="s">
        <v>56</v>
      </c>
      <c r="B2" s="14"/>
      <c r="C2" s="14"/>
      <c r="D2" s="14"/>
      <c r="E2" s="14"/>
      <c r="F2" s="14"/>
      <c r="G2" s="14"/>
    </row>
    <row r="4" customFormat="false" ht="15" hidden="false" customHeight="false" outlineLevel="0" collapsed="false">
      <c r="A4" s="4" t="s">
        <v>57</v>
      </c>
    </row>
    <row r="5" customFormat="false" ht="15" hidden="false" customHeight="false" outlineLevel="0" collapsed="false">
      <c r="A5" s="7" t="s">
        <v>58</v>
      </c>
      <c r="B5" s="7" t="s">
        <v>59</v>
      </c>
      <c r="C5" s="7" t="s">
        <v>60</v>
      </c>
      <c r="D5" s="7" t="s">
        <v>61</v>
      </c>
      <c r="E5" s="7" t="s">
        <v>62</v>
      </c>
      <c r="F5" s="7" t="s">
        <v>63</v>
      </c>
      <c r="G5" s="7" t="s">
        <v>64</v>
      </c>
    </row>
    <row r="6" customFormat="false" ht="23.85" hidden="false" customHeight="false" outlineLevel="0" collapsed="false">
      <c r="A6" s="18" t="s">
        <v>16</v>
      </c>
      <c r="B6" s="5" t="s">
        <v>65</v>
      </c>
      <c r="C6" s="17" t="s">
        <v>66</v>
      </c>
      <c r="D6" s="17" t="s">
        <v>67</v>
      </c>
      <c r="E6" s="17" t="s">
        <v>68</v>
      </c>
      <c r="F6" s="17" t="s">
        <v>69</v>
      </c>
      <c r="G6" s="17" t="s">
        <v>70</v>
      </c>
    </row>
    <row r="7" customFormat="false" ht="23.85" hidden="false" customHeight="false" outlineLevel="0" collapsed="false">
      <c r="A7" s="18" t="s">
        <v>16</v>
      </c>
      <c r="B7" s="5" t="s">
        <v>71</v>
      </c>
      <c r="C7" s="17" t="s">
        <v>66</v>
      </c>
      <c r="D7" s="17" t="s">
        <v>67</v>
      </c>
      <c r="E7" s="17" t="s">
        <v>68</v>
      </c>
      <c r="F7" s="17" t="s">
        <v>72</v>
      </c>
      <c r="G7" s="17" t="s">
        <v>73</v>
      </c>
    </row>
    <row r="8" customFormat="false" ht="15" hidden="false" customHeight="false" outlineLevel="0" collapsed="false">
      <c r="A8" s="18" t="s">
        <v>16</v>
      </c>
      <c r="B8" s="5" t="s">
        <v>74</v>
      </c>
      <c r="C8" s="17" t="s">
        <v>66</v>
      </c>
      <c r="D8" s="17" t="s">
        <v>74</v>
      </c>
      <c r="E8" s="17" t="s">
        <v>75</v>
      </c>
      <c r="F8" s="17" t="s">
        <v>76</v>
      </c>
      <c r="G8" s="17" t="s">
        <v>77</v>
      </c>
    </row>
    <row r="9" customFormat="false" ht="15" hidden="false" customHeight="false" outlineLevel="0" collapsed="false">
      <c r="A9" s="18" t="s">
        <v>16</v>
      </c>
      <c r="B9" s="5" t="s">
        <v>78</v>
      </c>
      <c r="C9" s="17" t="s">
        <v>66</v>
      </c>
      <c r="D9" s="17" t="s">
        <v>67</v>
      </c>
      <c r="E9" s="17" t="s">
        <v>79</v>
      </c>
      <c r="F9" s="17" t="s">
        <v>80</v>
      </c>
      <c r="G9" s="17" t="s">
        <v>81</v>
      </c>
    </row>
    <row r="10" customFormat="false" ht="15" hidden="false" customHeight="false" outlineLevel="0" collapsed="false">
      <c r="A10" s="18" t="s">
        <v>16</v>
      </c>
      <c r="B10" s="5" t="s">
        <v>82</v>
      </c>
      <c r="C10" s="17" t="s">
        <v>66</v>
      </c>
      <c r="D10" s="17" t="s">
        <v>83</v>
      </c>
      <c r="E10" s="17" t="s">
        <v>84</v>
      </c>
      <c r="F10" s="17" t="s">
        <v>85</v>
      </c>
      <c r="G10" s="17" t="s">
        <v>86</v>
      </c>
    </row>
    <row r="11" customFormat="false" ht="23.85" hidden="false" customHeight="false" outlineLevel="0" collapsed="false">
      <c r="A11" s="18" t="s">
        <v>16</v>
      </c>
      <c r="B11" s="5" t="s">
        <v>87</v>
      </c>
      <c r="C11" s="17" t="s">
        <v>66</v>
      </c>
      <c r="D11" s="17" t="s">
        <v>87</v>
      </c>
      <c r="E11" s="17" t="s">
        <v>88</v>
      </c>
      <c r="F11" s="17" t="s">
        <v>89</v>
      </c>
      <c r="G11" s="17" t="s">
        <v>90</v>
      </c>
    </row>
    <row r="12" customFormat="false" ht="15" hidden="false" customHeight="false" outlineLevel="0" collapsed="false">
      <c r="A12" s="18" t="s">
        <v>16</v>
      </c>
      <c r="B12" s="5" t="s">
        <v>91</v>
      </c>
      <c r="C12" s="17" t="s">
        <v>66</v>
      </c>
      <c r="D12" s="17" t="s">
        <v>87</v>
      </c>
      <c r="E12" s="17" t="s">
        <v>92</v>
      </c>
      <c r="F12" s="17" t="s">
        <v>89</v>
      </c>
      <c r="G12" s="17" t="s">
        <v>90</v>
      </c>
    </row>
    <row r="13" customFormat="false" ht="15" hidden="false" customHeight="false" outlineLevel="0" collapsed="false">
      <c r="A13" s="18" t="s">
        <v>16</v>
      </c>
      <c r="B13" s="5" t="s">
        <v>93</v>
      </c>
      <c r="C13" s="17" t="s">
        <v>66</v>
      </c>
      <c r="D13" s="17" t="s">
        <v>94</v>
      </c>
      <c r="E13" s="17" t="s">
        <v>95</v>
      </c>
      <c r="F13" s="17" t="s">
        <v>96</v>
      </c>
      <c r="G13" s="17" t="s">
        <v>96</v>
      </c>
    </row>
    <row r="15" customFormat="false" ht="15" hidden="false" customHeight="false" outlineLevel="0" collapsed="false">
      <c r="A15" s="4" t="s">
        <v>97</v>
      </c>
    </row>
    <row r="16" customFormat="false" ht="15" hidden="false" customHeight="false" outlineLevel="0" collapsed="false">
      <c r="A16" s="7" t="s">
        <v>58</v>
      </c>
      <c r="B16" s="7" t="s">
        <v>59</v>
      </c>
      <c r="C16" s="7" t="s">
        <v>60</v>
      </c>
      <c r="D16" s="7" t="s">
        <v>61</v>
      </c>
      <c r="E16" s="7" t="s">
        <v>62</v>
      </c>
      <c r="F16" s="7" t="s">
        <v>63</v>
      </c>
      <c r="G16" s="7" t="s">
        <v>64</v>
      </c>
    </row>
    <row r="17" customFormat="false" ht="23.85" hidden="false" customHeight="false" outlineLevel="0" collapsed="false">
      <c r="A17" s="18" t="s">
        <v>17</v>
      </c>
      <c r="B17" s="5" t="s">
        <v>65</v>
      </c>
      <c r="C17" s="17" t="s">
        <v>66</v>
      </c>
      <c r="D17" s="17" t="s">
        <v>67</v>
      </c>
      <c r="E17" s="17" t="s">
        <v>68</v>
      </c>
      <c r="F17" s="17" t="s">
        <v>98</v>
      </c>
      <c r="G17" s="17" t="s">
        <v>99</v>
      </c>
    </row>
    <row r="18" customFormat="false" ht="23.85" hidden="false" customHeight="false" outlineLevel="0" collapsed="false">
      <c r="A18" s="18" t="s">
        <v>17</v>
      </c>
      <c r="B18" s="5" t="s">
        <v>71</v>
      </c>
      <c r="C18" s="17" t="s">
        <v>66</v>
      </c>
      <c r="D18" s="17" t="s">
        <v>67</v>
      </c>
      <c r="E18" s="17" t="s">
        <v>68</v>
      </c>
      <c r="F18" s="17" t="s">
        <v>100</v>
      </c>
      <c r="G18" s="17" t="s">
        <v>101</v>
      </c>
    </row>
    <row r="19" customFormat="false" ht="15" hidden="false" customHeight="false" outlineLevel="0" collapsed="false">
      <c r="A19" s="18" t="s">
        <v>17</v>
      </c>
      <c r="B19" s="5" t="s">
        <v>74</v>
      </c>
      <c r="C19" s="17" t="s">
        <v>66</v>
      </c>
      <c r="D19" s="17" t="s">
        <v>74</v>
      </c>
      <c r="E19" s="17" t="s">
        <v>75</v>
      </c>
      <c r="F19" s="17" t="s">
        <v>102</v>
      </c>
      <c r="G19" s="17" t="s">
        <v>103</v>
      </c>
    </row>
    <row r="20" customFormat="false" ht="15" hidden="false" customHeight="false" outlineLevel="0" collapsed="false">
      <c r="A20" s="18" t="s">
        <v>17</v>
      </c>
      <c r="B20" s="5" t="s">
        <v>78</v>
      </c>
      <c r="C20" s="17" t="s">
        <v>66</v>
      </c>
      <c r="D20" s="17" t="s">
        <v>67</v>
      </c>
      <c r="E20" s="17" t="s">
        <v>79</v>
      </c>
      <c r="F20" s="17" t="s">
        <v>104</v>
      </c>
      <c r="G20" s="17" t="s">
        <v>105</v>
      </c>
    </row>
    <row r="21" customFormat="false" ht="15" hidden="false" customHeight="false" outlineLevel="0" collapsed="false">
      <c r="A21" s="18" t="s">
        <v>17</v>
      </c>
      <c r="B21" s="5" t="s">
        <v>106</v>
      </c>
      <c r="C21" s="17" t="s">
        <v>66</v>
      </c>
      <c r="D21" s="17" t="s">
        <v>67</v>
      </c>
      <c r="E21" s="17" t="s">
        <v>107</v>
      </c>
      <c r="F21" s="17" t="s">
        <v>108</v>
      </c>
      <c r="G21" s="17" t="s">
        <v>109</v>
      </c>
    </row>
    <row r="22" customFormat="false" ht="15" hidden="false" customHeight="false" outlineLevel="0" collapsed="false">
      <c r="A22" s="18" t="s">
        <v>17</v>
      </c>
      <c r="B22" s="5" t="s">
        <v>110</v>
      </c>
      <c r="C22" s="17" t="s">
        <v>66</v>
      </c>
      <c r="D22" s="17" t="s">
        <v>111</v>
      </c>
      <c r="E22" s="17" t="s">
        <v>112</v>
      </c>
      <c r="F22" s="17" t="s">
        <v>113</v>
      </c>
      <c r="G22" s="17" t="s">
        <v>114</v>
      </c>
    </row>
    <row r="23" customFormat="false" ht="15" hidden="false" customHeight="false" outlineLevel="0" collapsed="false">
      <c r="A23" s="18" t="s">
        <v>17</v>
      </c>
      <c r="B23" s="5" t="s">
        <v>115</v>
      </c>
      <c r="C23" s="17" t="s">
        <v>66</v>
      </c>
      <c r="D23" s="17" t="s">
        <v>111</v>
      </c>
      <c r="E23" s="17" t="s">
        <v>116</v>
      </c>
      <c r="F23" s="17" t="s">
        <v>117</v>
      </c>
      <c r="G23" s="17" t="s">
        <v>118</v>
      </c>
    </row>
    <row r="24" customFormat="false" ht="15" hidden="false" customHeight="false" outlineLevel="0" collapsed="false">
      <c r="A24" s="18" t="s">
        <v>17</v>
      </c>
      <c r="B24" s="5" t="s">
        <v>119</v>
      </c>
      <c r="C24" s="17" t="s">
        <v>66</v>
      </c>
      <c r="D24" s="17" t="s">
        <v>67</v>
      </c>
      <c r="E24" s="17" t="s">
        <v>120</v>
      </c>
      <c r="F24" s="17" t="s">
        <v>121</v>
      </c>
      <c r="G24" s="17" t="s">
        <v>122</v>
      </c>
    </row>
    <row r="25" customFormat="false" ht="15" hidden="false" customHeight="false" outlineLevel="0" collapsed="false">
      <c r="A25" s="18" t="s">
        <v>17</v>
      </c>
      <c r="B25" s="5" t="s">
        <v>123</v>
      </c>
      <c r="C25" s="17" t="s">
        <v>66</v>
      </c>
      <c r="D25" s="17" t="s">
        <v>111</v>
      </c>
      <c r="E25" s="17" t="s">
        <v>124</v>
      </c>
      <c r="F25" s="17" t="s">
        <v>125</v>
      </c>
      <c r="G25" s="17" t="s">
        <v>126</v>
      </c>
    </row>
    <row r="26" customFormat="false" ht="15" hidden="false" customHeight="false" outlineLevel="0" collapsed="false">
      <c r="A26" s="18" t="s">
        <v>17</v>
      </c>
      <c r="B26" s="5" t="s">
        <v>127</v>
      </c>
      <c r="C26" s="17" t="s">
        <v>66</v>
      </c>
      <c r="D26" s="17" t="s">
        <v>111</v>
      </c>
      <c r="E26" s="17" t="s">
        <v>128</v>
      </c>
      <c r="F26" s="17" t="s">
        <v>129</v>
      </c>
      <c r="G26" s="17" t="s">
        <v>130</v>
      </c>
    </row>
    <row r="27" customFormat="false" ht="15" hidden="false" customHeight="false" outlineLevel="0" collapsed="false">
      <c r="A27" s="18" t="s">
        <v>17</v>
      </c>
      <c r="B27" s="5" t="s">
        <v>131</v>
      </c>
      <c r="C27" s="17" t="s">
        <v>66</v>
      </c>
      <c r="D27" s="17" t="s">
        <v>111</v>
      </c>
      <c r="E27" s="17" t="s">
        <v>132</v>
      </c>
      <c r="F27" s="17" t="s">
        <v>133</v>
      </c>
      <c r="G27" s="17" t="s">
        <v>134</v>
      </c>
    </row>
    <row r="28" customFormat="false" ht="15" hidden="false" customHeight="false" outlineLevel="0" collapsed="false">
      <c r="A28" s="18" t="s">
        <v>17</v>
      </c>
      <c r="B28" s="5" t="s">
        <v>135</v>
      </c>
      <c r="C28" s="17" t="s">
        <v>66</v>
      </c>
      <c r="D28" s="17" t="s">
        <v>111</v>
      </c>
      <c r="E28" s="17" t="s">
        <v>136</v>
      </c>
      <c r="F28" s="17" t="s">
        <v>137</v>
      </c>
      <c r="G28" s="17" t="s">
        <v>138</v>
      </c>
    </row>
    <row r="29" customFormat="false" ht="15" hidden="false" customHeight="false" outlineLevel="0" collapsed="false">
      <c r="A29" s="18" t="s">
        <v>17</v>
      </c>
      <c r="B29" s="5" t="s">
        <v>139</v>
      </c>
      <c r="C29" s="17" t="s">
        <v>66</v>
      </c>
      <c r="D29" s="17" t="s">
        <v>67</v>
      </c>
      <c r="E29" s="17" t="s">
        <v>140</v>
      </c>
      <c r="F29" s="17" t="s">
        <v>141</v>
      </c>
      <c r="G29" s="17" t="s">
        <v>142</v>
      </c>
    </row>
    <row r="30" customFormat="false" ht="15" hidden="false" customHeight="false" outlineLevel="0" collapsed="false">
      <c r="A30" s="18" t="s">
        <v>17</v>
      </c>
      <c r="B30" s="5" t="s">
        <v>143</v>
      </c>
      <c r="C30" s="17" t="s">
        <v>66</v>
      </c>
      <c r="D30" s="17" t="s">
        <v>67</v>
      </c>
      <c r="E30" s="17" t="s">
        <v>144</v>
      </c>
      <c r="F30" s="17" t="s">
        <v>145</v>
      </c>
      <c r="G30" s="17" t="s">
        <v>146</v>
      </c>
    </row>
    <row r="31" customFormat="false" ht="15" hidden="false" customHeight="false" outlineLevel="0" collapsed="false">
      <c r="A31" s="18" t="s">
        <v>17</v>
      </c>
      <c r="B31" s="5" t="s">
        <v>147</v>
      </c>
      <c r="C31" s="17" t="s">
        <v>66</v>
      </c>
      <c r="D31" s="17" t="s">
        <v>148</v>
      </c>
      <c r="E31" s="17" t="s">
        <v>149</v>
      </c>
      <c r="F31" s="17" t="s">
        <v>150</v>
      </c>
      <c r="G31" s="17" t="s">
        <v>151</v>
      </c>
    </row>
    <row r="32" customFormat="false" ht="15" hidden="false" customHeight="false" outlineLevel="0" collapsed="false">
      <c r="A32" s="18" t="s">
        <v>17</v>
      </c>
      <c r="B32" s="5" t="s">
        <v>152</v>
      </c>
      <c r="C32" s="17" t="s">
        <v>153</v>
      </c>
      <c r="D32" s="17" t="s">
        <v>148</v>
      </c>
      <c r="E32" s="17" t="s">
        <v>149</v>
      </c>
      <c r="F32" s="17" t="s">
        <v>154</v>
      </c>
      <c r="G32" s="17" t="s">
        <v>155</v>
      </c>
    </row>
    <row r="33" customFormat="false" ht="15" hidden="false" customHeight="false" outlineLevel="0" collapsed="false">
      <c r="A33" s="18" t="s">
        <v>17</v>
      </c>
      <c r="B33" s="5" t="s">
        <v>156</v>
      </c>
      <c r="C33" s="17" t="s">
        <v>157</v>
      </c>
      <c r="D33" s="17" t="s">
        <v>148</v>
      </c>
      <c r="E33" s="17" t="s">
        <v>149</v>
      </c>
      <c r="F33" s="17" t="s">
        <v>155</v>
      </c>
      <c r="G33" s="17" t="s">
        <v>158</v>
      </c>
    </row>
    <row r="34" customFormat="false" ht="23.85" hidden="false" customHeight="false" outlineLevel="0" collapsed="false">
      <c r="A34" s="18" t="s">
        <v>17</v>
      </c>
      <c r="B34" s="5" t="s">
        <v>159</v>
      </c>
      <c r="C34" s="17" t="s">
        <v>160</v>
      </c>
      <c r="D34" s="17" t="s">
        <v>148</v>
      </c>
      <c r="E34" s="17" t="s">
        <v>149</v>
      </c>
      <c r="F34" s="17" t="s">
        <v>161</v>
      </c>
      <c r="G34" s="17" t="s">
        <v>161</v>
      </c>
    </row>
    <row r="35" customFormat="false" ht="23.85" hidden="false" customHeight="false" outlineLevel="0" collapsed="false">
      <c r="A35" s="18" t="s">
        <v>17</v>
      </c>
      <c r="B35" s="5" t="s">
        <v>87</v>
      </c>
      <c r="C35" s="17" t="s">
        <v>66</v>
      </c>
      <c r="D35" s="17" t="s">
        <v>87</v>
      </c>
      <c r="E35" s="17" t="s">
        <v>88</v>
      </c>
      <c r="F35" s="17" t="s">
        <v>162</v>
      </c>
      <c r="G35" s="17" t="s">
        <v>163</v>
      </c>
    </row>
    <row r="36" customFormat="false" ht="15" hidden="false" customHeight="false" outlineLevel="0" collapsed="false">
      <c r="A36" s="18" t="s">
        <v>17</v>
      </c>
      <c r="B36" s="5" t="s">
        <v>91</v>
      </c>
      <c r="C36" s="17" t="s">
        <v>66</v>
      </c>
      <c r="D36" s="17" t="s">
        <v>87</v>
      </c>
      <c r="E36" s="17" t="s">
        <v>92</v>
      </c>
      <c r="F36" s="17" t="s">
        <v>162</v>
      </c>
      <c r="G36" s="17" t="s">
        <v>163</v>
      </c>
    </row>
    <row r="37" customFormat="false" ht="15" hidden="false" customHeight="false" outlineLevel="0" collapsed="false">
      <c r="A37" s="18" t="s">
        <v>17</v>
      </c>
      <c r="B37" s="5" t="s">
        <v>93</v>
      </c>
      <c r="C37" s="17" t="s">
        <v>66</v>
      </c>
      <c r="D37" s="17" t="s">
        <v>94</v>
      </c>
      <c r="E37" s="17" t="s">
        <v>95</v>
      </c>
      <c r="F37" s="17" t="s">
        <v>96</v>
      </c>
      <c r="G37" s="17" t="s">
        <v>96</v>
      </c>
    </row>
    <row r="39" customFormat="false" ht="15" hidden="false" customHeight="false" outlineLevel="0" collapsed="false">
      <c r="A39" s="4" t="s">
        <v>164</v>
      </c>
    </row>
    <row r="40" customFormat="false" ht="15" hidden="false" customHeight="false" outlineLevel="0" collapsed="false">
      <c r="A40" s="7" t="s">
        <v>58</v>
      </c>
      <c r="B40" s="7" t="s">
        <v>59</v>
      </c>
      <c r="C40" s="7" t="s">
        <v>60</v>
      </c>
      <c r="D40" s="7" t="s">
        <v>61</v>
      </c>
      <c r="E40" s="7" t="s">
        <v>62</v>
      </c>
      <c r="F40" s="7" t="s">
        <v>63</v>
      </c>
      <c r="G40" s="7" t="s">
        <v>64</v>
      </c>
    </row>
    <row r="41" customFormat="false" ht="15" hidden="false" customHeight="false" outlineLevel="0" collapsed="false">
      <c r="A41" s="18" t="s">
        <v>18</v>
      </c>
      <c r="B41" s="5" t="s">
        <v>165</v>
      </c>
      <c r="C41" s="17" t="s">
        <v>66</v>
      </c>
      <c r="D41" s="17" t="s">
        <v>67</v>
      </c>
      <c r="E41" s="17" t="s">
        <v>166</v>
      </c>
      <c r="F41" s="17" t="s">
        <v>167</v>
      </c>
      <c r="G41" s="17" t="s">
        <v>168</v>
      </c>
    </row>
    <row r="42" customFormat="false" ht="15" hidden="false" customHeight="false" outlineLevel="0" collapsed="false">
      <c r="A42" s="18" t="s">
        <v>18</v>
      </c>
      <c r="B42" s="5" t="s">
        <v>169</v>
      </c>
      <c r="C42" s="17" t="s">
        <v>66</v>
      </c>
      <c r="D42" s="17" t="s">
        <v>67</v>
      </c>
      <c r="E42" s="17" t="s">
        <v>170</v>
      </c>
      <c r="F42" s="17" t="s">
        <v>171</v>
      </c>
      <c r="G42" s="17" t="s">
        <v>172</v>
      </c>
    </row>
    <row r="43" customFormat="false" ht="15" hidden="false" customHeight="false" outlineLevel="0" collapsed="false">
      <c r="A43" s="18" t="s">
        <v>18</v>
      </c>
      <c r="B43" s="5" t="s">
        <v>119</v>
      </c>
      <c r="C43" s="17" t="s">
        <v>66</v>
      </c>
      <c r="D43" s="17" t="s">
        <v>67</v>
      </c>
      <c r="E43" s="17" t="s">
        <v>120</v>
      </c>
      <c r="F43" s="17" t="s">
        <v>173</v>
      </c>
      <c r="G43" s="17" t="s">
        <v>174</v>
      </c>
    </row>
    <row r="44" customFormat="false" ht="15" hidden="false" customHeight="false" outlineLevel="0" collapsed="false">
      <c r="A44" s="18" t="s">
        <v>18</v>
      </c>
      <c r="B44" s="5" t="s">
        <v>123</v>
      </c>
      <c r="C44" s="17" t="s">
        <v>66</v>
      </c>
      <c r="D44" s="17" t="s">
        <v>111</v>
      </c>
      <c r="E44" s="17" t="s">
        <v>124</v>
      </c>
      <c r="F44" s="17" t="s">
        <v>125</v>
      </c>
      <c r="G44" s="17" t="s">
        <v>175</v>
      </c>
    </row>
    <row r="45" customFormat="false" ht="15" hidden="false" customHeight="false" outlineLevel="0" collapsed="false">
      <c r="A45" s="18" t="s">
        <v>18</v>
      </c>
      <c r="B45" s="5" t="s">
        <v>127</v>
      </c>
      <c r="C45" s="17" t="s">
        <v>66</v>
      </c>
      <c r="D45" s="17" t="s">
        <v>111</v>
      </c>
      <c r="E45" s="17" t="s">
        <v>128</v>
      </c>
      <c r="F45" s="17" t="s">
        <v>129</v>
      </c>
      <c r="G45" s="17" t="s">
        <v>176</v>
      </c>
    </row>
    <row r="46" customFormat="false" ht="15" hidden="false" customHeight="false" outlineLevel="0" collapsed="false">
      <c r="A46" s="18" t="s">
        <v>18</v>
      </c>
      <c r="B46" s="5" t="s">
        <v>131</v>
      </c>
      <c r="C46" s="17" t="s">
        <v>66</v>
      </c>
      <c r="D46" s="17" t="s">
        <v>111</v>
      </c>
      <c r="E46" s="17" t="s">
        <v>132</v>
      </c>
      <c r="F46" s="17" t="s">
        <v>177</v>
      </c>
      <c r="G46" s="17" t="s">
        <v>178</v>
      </c>
    </row>
    <row r="47" customFormat="false" ht="15" hidden="false" customHeight="false" outlineLevel="0" collapsed="false">
      <c r="A47" s="18" t="s">
        <v>18</v>
      </c>
      <c r="B47" s="5" t="s">
        <v>135</v>
      </c>
      <c r="C47" s="17" t="s">
        <v>66</v>
      </c>
      <c r="D47" s="17" t="s">
        <v>111</v>
      </c>
      <c r="E47" s="17" t="s">
        <v>136</v>
      </c>
      <c r="F47" s="17" t="s">
        <v>179</v>
      </c>
      <c r="G47" s="17" t="s">
        <v>180</v>
      </c>
    </row>
    <row r="48" customFormat="false" ht="15" hidden="false" customHeight="false" outlineLevel="0" collapsed="false">
      <c r="A48" s="18" t="s">
        <v>18</v>
      </c>
      <c r="B48" s="5" t="s">
        <v>139</v>
      </c>
      <c r="C48" s="17" t="s">
        <v>66</v>
      </c>
      <c r="D48" s="17" t="s">
        <v>67</v>
      </c>
      <c r="E48" s="17" t="s">
        <v>140</v>
      </c>
      <c r="F48" s="17" t="s">
        <v>181</v>
      </c>
      <c r="G48" s="17" t="s">
        <v>182</v>
      </c>
    </row>
    <row r="49" customFormat="false" ht="15" hidden="false" customHeight="false" outlineLevel="0" collapsed="false">
      <c r="A49" s="18" t="s">
        <v>18</v>
      </c>
      <c r="B49" s="5" t="s">
        <v>143</v>
      </c>
      <c r="C49" s="17" t="s">
        <v>66</v>
      </c>
      <c r="D49" s="17" t="s">
        <v>67</v>
      </c>
      <c r="E49" s="17" t="s">
        <v>144</v>
      </c>
      <c r="F49" s="17" t="s">
        <v>183</v>
      </c>
      <c r="G49" s="17" t="s">
        <v>184</v>
      </c>
    </row>
    <row r="50" customFormat="false" ht="23.85" hidden="false" customHeight="false" outlineLevel="0" collapsed="false">
      <c r="A50" s="18" t="s">
        <v>18</v>
      </c>
      <c r="B50" s="5" t="s">
        <v>185</v>
      </c>
      <c r="C50" s="17" t="s">
        <v>66</v>
      </c>
      <c r="D50" s="17" t="s">
        <v>67</v>
      </c>
      <c r="E50" s="17" t="s">
        <v>68</v>
      </c>
      <c r="F50" s="17" t="s">
        <v>186</v>
      </c>
      <c r="G50" s="17" t="s">
        <v>187</v>
      </c>
    </row>
    <row r="51" customFormat="false" ht="23.85" hidden="false" customHeight="false" outlineLevel="0" collapsed="false">
      <c r="A51" s="18" t="s">
        <v>18</v>
      </c>
      <c r="B51" s="5" t="s">
        <v>188</v>
      </c>
      <c r="C51" s="17" t="s">
        <v>66</v>
      </c>
      <c r="D51" s="17" t="s">
        <v>67</v>
      </c>
      <c r="E51" s="17" t="s">
        <v>68</v>
      </c>
      <c r="F51" s="17" t="s">
        <v>189</v>
      </c>
      <c r="G51" s="17" t="s">
        <v>190</v>
      </c>
    </row>
    <row r="52" customFormat="false" ht="15" hidden="false" customHeight="false" outlineLevel="0" collapsed="false">
      <c r="A52" s="18" t="s">
        <v>18</v>
      </c>
      <c r="B52" s="5" t="s">
        <v>191</v>
      </c>
      <c r="C52" s="17" t="s">
        <v>66</v>
      </c>
      <c r="D52" s="17" t="s">
        <v>67</v>
      </c>
      <c r="E52" s="17" t="s">
        <v>192</v>
      </c>
      <c r="F52" s="17" t="s">
        <v>193</v>
      </c>
      <c r="G52" s="17" t="s">
        <v>194</v>
      </c>
    </row>
    <row r="53" customFormat="false" ht="15" hidden="false" customHeight="false" outlineLevel="0" collapsed="false">
      <c r="A53" s="18" t="s">
        <v>18</v>
      </c>
      <c r="B53" s="5" t="s">
        <v>74</v>
      </c>
      <c r="C53" s="17" t="s">
        <v>66</v>
      </c>
      <c r="D53" s="17" t="s">
        <v>74</v>
      </c>
      <c r="E53" s="17" t="s">
        <v>75</v>
      </c>
      <c r="F53" s="17" t="s">
        <v>195</v>
      </c>
      <c r="G53" s="17" t="s">
        <v>196</v>
      </c>
    </row>
    <row r="54" customFormat="false" ht="15" hidden="false" customHeight="false" outlineLevel="0" collapsed="false">
      <c r="A54" s="18" t="s">
        <v>18</v>
      </c>
      <c r="B54" s="5" t="s">
        <v>78</v>
      </c>
      <c r="C54" s="17" t="s">
        <v>66</v>
      </c>
      <c r="D54" s="17" t="s">
        <v>67</v>
      </c>
      <c r="E54" s="17" t="s">
        <v>79</v>
      </c>
      <c r="F54" s="17" t="s">
        <v>197</v>
      </c>
      <c r="G54" s="17" t="s">
        <v>198</v>
      </c>
    </row>
    <row r="55" customFormat="false" ht="15" hidden="false" customHeight="false" outlineLevel="0" collapsed="false">
      <c r="A55" s="18" t="s">
        <v>18</v>
      </c>
      <c r="B55" s="5" t="s">
        <v>199</v>
      </c>
      <c r="C55" s="17" t="s">
        <v>66</v>
      </c>
      <c r="D55" s="17" t="s">
        <v>200</v>
      </c>
      <c r="E55" s="17" t="s">
        <v>201</v>
      </c>
      <c r="F55" s="17" t="s">
        <v>202</v>
      </c>
      <c r="G55" s="17" t="s">
        <v>175</v>
      </c>
    </row>
    <row r="56" customFormat="false" ht="15" hidden="false" customHeight="false" outlineLevel="0" collapsed="false">
      <c r="A56" s="18" t="s">
        <v>18</v>
      </c>
      <c r="B56" s="5" t="s">
        <v>156</v>
      </c>
      <c r="C56" s="17" t="s">
        <v>66</v>
      </c>
      <c r="D56" s="17" t="s">
        <v>148</v>
      </c>
      <c r="E56" s="17" t="s">
        <v>149</v>
      </c>
      <c r="F56" s="17" t="s">
        <v>158</v>
      </c>
      <c r="G56" s="17" t="s">
        <v>158</v>
      </c>
    </row>
    <row r="57" customFormat="false" ht="15" hidden="false" customHeight="false" outlineLevel="0" collapsed="false">
      <c r="A57" s="18" t="s">
        <v>18</v>
      </c>
      <c r="B57" s="5" t="s">
        <v>159</v>
      </c>
      <c r="C57" s="17" t="s">
        <v>66</v>
      </c>
      <c r="D57" s="17" t="s">
        <v>148</v>
      </c>
      <c r="E57" s="17" t="s">
        <v>149</v>
      </c>
      <c r="F57" s="17" t="s">
        <v>161</v>
      </c>
      <c r="G57" s="17" t="s">
        <v>161</v>
      </c>
    </row>
    <row r="58" customFormat="false" ht="15" hidden="false" customHeight="false" outlineLevel="0" collapsed="false">
      <c r="A58" s="18" t="s">
        <v>18</v>
      </c>
      <c r="B58" s="5" t="s">
        <v>203</v>
      </c>
      <c r="C58" s="17" t="s">
        <v>66</v>
      </c>
      <c r="D58" s="17" t="s">
        <v>148</v>
      </c>
      <c r="E58" s="17" t="s">
        <v>149</v>
      </c>
      <c r="F58" s="17" t="s">
        <v>204</v>
      </c>
      <c r="G58" s="17" t="s">
        <v>204</v>
      </c>
    </row>
    <row r="59" customFormat="false" ht="15" hidden="false" customHeight="false" outlineLevel="0" collapsed="false">
      <c r="A59" s="18" t="s">
        <v>18</v>
      </c>
      <c r="B59" s="5" t="s">
        <v>205</v>
      </c>
      <c r="C59" s="17" t="s">
        <v>66</v>
      </c>
      <c r="D59" s="17" t="s">
        <v>148</v>
      </c>
      <c r="E59" s="17" t="s">
        <v>149</v>
      </c>
      <c r="F59" s="17" t="s">
        <v>150</v>
      </c>
      <c r="G59" s="17" t="s">
        <v>151</v>
      </c>
    </row>
    <row r="60" customFormat="false" ht="23.85" hidden="false" customHeight="false" outlineLevel="0" collapsed="false">
      <c r="A60" s="18" t="s">
        <v>18</v>
      </c>
      <c r="B60" s="5" t="s">
        <v>87</v>
      </c>
      <c r="C60" s="17" t="s">
        <v>66</v>
      </c>
      <c r="D60" s="17" t="s">
        <v>87</v>
      </c>
      <c r="E60" s="17" t="s">
        <v>88</v>
      </c>
      <c r="F60" s="17" t="s">
        <v>206</v>
      </c>
      <c r="G60" s="17" t="s">
        <v>207</v>
      </c>
    </row>
    <row r="61" customFormat="false" ht="15" hidden="false" customHeight="false" outlineLevel="0" collapsed="false">
      <c r="A61" s="18" t="s">
        <v>18</v>
      </c>
      <c r="B61" s="5" t="s">
        <v>91</v>
      </c>
      <c r="C61" s="17" t="s">
        <v>66</v>
      </c>
      <c r="D61" s="17" t="s">
        <v>87</v>
      </c>
      <c r="E61" s="17" t="s">
        <v>92</v>
      </c>
      <c r="F61" s="17" t="s">
        <v>206</v>
      </c>
      <c r="G61" s="17" t="s">
        <v>207</v>
      </c>
    </row>
    <row r="62" customFormat="false" ht="15" hidden="false" customHeight="false" outlineLevel="0" collapsed="false">
      <c r="A62" s="18" t="s">
        <v>18</v>
      </c>
      <c r="B62" s="5" t="s">
        <v>93</v>
      </c>
      <c r="C62" s="17" t="s">
        <v>66</v>
      </c>
      <c r="D62" s="17" t="s">
        <v>94</v>
      </c>
      <c r="E62" s="17" t="s">
        <v>95</v>
      </c>
      <c r="F62" s="17" t="s">
        <v>96</v>
      </c>
      <c r="G62" s="17" t="s">
        <v>96</v>
      </c>
    </row>
    <row r="64" customFormat="false" ht="15" hidden="false" customHeight="false" outlineLevel="0" collapsed="false">
      <c r="A64" s="4" t="s">
        <v>208</v>
      </c>
    </row>
    <row r="65" customFormat="false" ht="15" hidden="false" customHeight="false" outlineLevel="0" collapsed="false">
      <c r="A65" s="7" t="s">
        <v>58</v>
      </c>
      <c r="B65" s="7" t="s">
        <v>59</v>
      </c>
      <c r="C65" s="7" t="s">
        <v>60</v>
      </c>
      <c r="D65" s="7" t="s">
        <v>61</v>
      </c>
      <c r="E65" s="7" t="s">
        <v>62</v>
      </c>
      <c r="F65" s="7" t="s">
        <v>63</v>
      </c>
      <c r="G65" s="7" t="s">
        <v>64</v>
      </c>
    </row>
    <row r="66" customFormat="false" ht="23.85" hidden="false" customHeight="false" outlineLevel="0" collapsed="false">
      <c r="A66" s="18" t="s">
        <v>19</v>
      </c>
      <c r="B66" s="5" t="s">
        <v>65</v>
      </c>
      <c r="C66" s="17" t="s">
        <v>66</v>
      </c>
      <c r="D66" s="17" t="s">
        <v>67</v>
      </c>
      <c r="E66" s="17" t="s">
        <v>68</v>
      </c>
      <c r="F66" s="17" t="s">
        <v>209</v>
      </c>
      <c r="G66" s="17" t="s">
        <v>210</v>
      </c>
    </row>
    <row r="67" customFormat="false" ht="23.85" hidden="false" customHeight="false" outlineLevel="0" collapsed="false">
      <c r="A67" s="18" t="s">
        <v>19</v>
      </c>
      <c r="B67" s="5" t="s">
        <v>71</v>
      </c>
      <c r="C67" s="17" t="s">
        <v>66</v>
      </c>
      <c r="D67" s="17" t="s">
        <v>67</v>
      </c>
      <c r="E67" s="17" t="s">
        <v>68</v>
      </c>
      <c r="F67" s="17" t="s">
        <v>211</v>
      </c>
      <c r="G67" s="17" t="s">
        <v>212</v>
      </c>
    </row>
    <row r="68" customFormat="false" ht="15" hidden="false" customHeight="false" outlineLevel="0" collapsed="false">
      <c r="A68" s="18" t="s">
        <v>19</v>
      </c>
      <c r="B68" s="5" t="s">
        <v>82</v>
      </c>
      <c r="C68" s="17" t="s">
        <v>66</v>
      </c>
      <c r="D68" s="17" t="s">
        <v>83</v>
      </c>
      <c r="E68" s="17" t="s">
        <v>84</v>
      </c>
      <c r="F68" s="17" t="s">
        <v>213</v>
      </c>
      <c r="G68" s="17" t="s">
        <v>214</v>
      </c>
    </row>
    <row r="69" customFormat="false" ht="15" hidden="false" customHeight="false" outlineLevel="0" collapsed="false">
      <c r="A69" s="18" t="s">
        <v>19</v>
      </c>
      <c r="B69" s="5" t="s">
        <v>74</v>
      </c>
      <c r="C69" s="17" t="s">
        <v>66</v>
      </c>
      <c r="D69" s="17" t="s">
        <v>74</v>
      </c>
      <c r="E69" s="17" t="s">
        <v>75</v>
      </c>
      <c r="F69" s="17" t="s">
        <v>215</v>
      </c>
      <c r="G69" s="17" t="s">
        <v>216</v>
      </c>
    </row>
    <row r="70" customFormat="false" ht="15" hidden="false" customHeight="false" outlineLevel="0" collapsed="false">
      <c r="A70" s="18" t="s">
        <v>19</v>
      </c>
      <c r="B70" s="5" t="s">
        <v>78</v>
      </c>
      <c r="C70" s="17" t="s">
        <v>66</v>
      </c>
      <c r="D70" s="17" t="s">
        <v>67</v>
      </c>
      <c r="E70" s="17" t="s">
        <v>79</v>
      </c>
      <c r="F70" s="17" t="s">
        <v>217</v>
      </c>
      <c r="G70" s="17" t="s">
        <v>218</v>
      </c>
    </row>
    <row r="71" customFormat="false" ht="15" hidden="false" customHeight="false" outlineLevel="0" collapsed="false">
      <c r="A71" s="18" t="s">
        <v>19</v>
      </c>
      <c r="B71" s="5" t="s">
        <v>219</v>
      </c>
      <c r="C71" s="17" t="s">
        <v>66</v>
      </c>
      <c r="D71" s="17" t="s">
        <v>67</v>
      </c>
      <c r="E71" s="17" t="s">
        <v>220</v>
      </c>
      <c r="F71" s="17" t="s">
        <v>221</v>
      </c>
      <c r="G71" s="17" t="s">
        <v>222</v>
      </c>
    </row>
    <row r="72" customFormat="false" ht="15" hidden="false" customHeight="false" outlineLevel="0" collapsed="false">
      <c r="A72" s="18" t="s">
        <v>19</v>
      </c>
      <c r="B72" s="5" t="s">
        <v>223</v>
      </c>
      <c r="C72" s="17" t="s">
        <v>66</v>
      </c>
      <c r="D72" s="17" t="s">
        <v>83</v>
      </c>
      <c r="E72" s="17" t="s">
        <v>224</v>
      </c>
      <c r="F72" s="17" t="s">
        <v>225</v>
      </c>
      <c r="G72" s="17" t="s">
        <v>226</v>
      </c>
    </row>
    <row r="73" customFormat="false" ht="15" hidden="false" customHeight="false" outlineLevel="0" collapsed="false">
      <c r="A73" s="18" t="s">
        <v>19</v>
      </c>
      <c r="B73" s="5" t="s">
        <v>227</v>
      </c>
      <c r="C73" s="17" t="s">
        <v>66</v>
      </c>
      <c r="D73" s="17" t="s">
        <v>111</v>
      </c>
      <c r="E73" s="17" t="s">
        <v>228</v>
      </c>
      <c r="F73" s="17" t="s">
        <v>229</v>
      </c>
      <c r="G73" s="17" t="s">
        <v>230</v>
      </c>
    </row>
    <row r="74" customFormat="false" ht="15" hidden="false" customHeight="false" outlineLevel="0" collapsed="false">
      <c r="A74" s="18" t="s">
        <v>19</v>
      </c>
      <c r="B74" s="5" t="s">
        <v>231</v>
      </c>
      <c r="C74" s="17" t="s">
        <v>66</v>
      </c>
      <c r="D74" s="17" t="s">
        <v>67</v>
      </c>
      <c r="E74" s="17" t="s">
        <v>166</v>
      </c>
      <c r="F74" s="17" t="s">
        <v>232</v>
      </c>
      <c r="G74" s="17" t="s">
        <v>233</v>
      </c>
    </row>
    <row r="75" customFormat="false" ht="15" hidden="false" customHeight="false" outlineLevel="0" collapsed="false">
      <c r="A75" s="18" t="s">
        <v>19</v>
      </c>
      <c r="B75" s="5" t="s">
        <v>234</v>
      </c>
      <c r="C75" s="17" t="s">
        <v>66</v>
      </c>
      <c r="D75" s="17" t="s">
        <v>148</v>
      </c>
      <c r="E75" s="17" t="s">
        <v>149</v>
      </c>
      <c r="F75" s="17" t="s">
        <v>235</v>
      </c>
      <c r="G75" s="17" t="s">
        <v>236</v>
      </c>
    </row>
    <row r="76" customFormat="false" ht="15" hidden="false" customHeight="false" outlineLevel="0" collapsed="false">
      <c r="A76" s="18" t="s">
        <v>19</v>
      </c>
      <c r="B76" s="5" t="s">
        <v>237</v>
      </c>
      <c r="C76" s="17" t="s">
        <v>66</v>
      </c>
      <c r="D76" s="17" t="s">
        <v>148</v>
      </c>
      <c r="E76" s="17" t="s">
        <v>149</v>
      </c>
      <c r="F76" s="17" t="s">
        <v>238</v>
      </c>
      <c r="G76" s="17" t="s">
        <v>238</v>
      </c>
    </row>
    <row r="77" customFormat="false" ht="23.85" hidden="false" customHeight="false" outlineLevel="0" collapsed="false">
      <c r="A77" s="18" t="s">
        <v>19</v>
      </c>
      <c r="B77" s="5" t="s">
        <v>239</v>
      </c>
      <c r="C77" s="17" t="s">
        <v>66</v>
      </c>
      <c r="D77" s="17" t="s">
        <v>87</v>
      </c>
      <c r="E77" s="17" t="s">
        <v>88</v>
      </c>
      <c r="F77" s="17" t="s">
        <v>240</v>
      </c>
      <c r="G77" s="17" t="s">
        <v>241</v>
      </c>
    </row>
    <row r="79" customFormat="false" ht="15" hidden="false" customHeight="false" outlineLevel="0" collapsed="false">
      <c r="A79" s="4" t="s">
        <v>242</v>
      </c>
    </row>
    <row r="80" customFormat="false" ht="15.75" hidden="false" customHeight="true" outlineLevel="0" collapsed="false">
      <c r="A80" s="5" t="s">
        <v>243</v>
      </c>
      <c r="B80" s="5"/>
      <c r="C80" s="17" t="s">
        <v>244</v>
      </c>
      <c r="D80" s="17"/>
      <c r="E80" s="17"/>
      <c r="F80" s="17"/>
      <c r="G80" s="17"/>
    </row>
    <row r="81" customFormat="false" ht="15.75" hidden="false" customHeight="true" outlineLevel="0" collapsed="false">
      <c r="A81" s="5" t="s">
        <v>245</v>
      </c>
      <c r="B81" s="5"/>
      <c r="C81" s="17" t="s">
        <v>246</v>
      </c>
      <c r="D81" s="17"/>
      <c r="E81" s="17"/>
      <c r="F81" s="17"/>
      <c r="G81" s="17"/>
    </row>
    <row r="82" customFormat="false" ht="15.75" hidden="false" customHeight="true" outlineLevel="0" collapsed="false">
      <c r="A82" s="5" t="s">
        <v>247</v>
      </c>
      <c r="B82" s="5"/>
      <c r="C82" s="17" t="s">
        <v>248</v>
      </c>
      <c r="D82" s="17"/>
      <c r="E82" s="17"/>
      <c r="F82" s="17"/>
      <c r="G82" s="17"/>
    </row>
  </sheetData>
  <mergeCells count="7">
    <mergeCell ref="A2:G2"/>
    <mergeCell ref="A80:B80"/>
    <mergeCell ref="C80:G80"/>
    <mergeCell ref="A81:B81"/>
    <mergeCell ref="C81:G81"/>
    <mergeCell ref="A82:B82"/>
    <mergeCell ref="C82:G8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customHeight="false"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26"/>
    <col collapsed="false" customWidth="true" hidden="false" outlineLevel="0" max="4" min="4" style="1" width="58"/>
    <col collapsed="false" customWidth="true" hidden="false" outlineLevel="0" max="5" min="5" style="1" width="16"/>
  </cols>
  <sheetData>
    <row r="1" customFormat="false" ht="17.35" hidden="false" customHeight="false" outlineLevel="0" collapsed="false">
      <c r="A1" s="2" t="s">
        <v>249</v>
      </c>
    </row>
    <row r="2" customFormat="false" ht="30" hidden="false" customHeight="true" outlineLevel="0" collapsed="false">
      <c r="A2" s="14" t="s">
        <v>250</v>
      </c>
      <c r="B2" s="14"/>
      <c r="C2" s="14"/>
      <c r="D2" s="14"/>
      <c r="E2" s="14"/>
    </row>
    <row r="4" customFormat="false" ht="15" hidden="false" customHeight="false" outlineLevel="0" collapsed="false">
      <c r="A4" s="7" t="s">
        <v>251</v>
      </c>
      <c r="B4" s="7" t="s">
        <v>252</v>
      </c>
      <c r="C4" s="7" t="s">
        <v>253</v>
      </c>
      <c r="D4" s="7" t="s">
        <v>254</v>
      </c>
      <c r="E4" s="7" t="s">
        <v>255</v>
      </c>
    </row>
    <row r="5" customFormat="false" ht="15" hidden="false" customHeight="false" outlineLevel="0" collapsed="false">
      <c r="A5" s="19" t="s">
        <v>256</v>
      </c>
      <c r="B5" s="20" t="s">
        <v>257</v>
      </c>
      <c r="C5" s="17" t="s">
        <v>258</v>
      </c>
      <c r="D5" s="17" t="s">
        <v>259</v>
      </c>
      <c r="E5" s="20" t="s">
        <v>260</v>
      </c>
    </row>
    <row r="6" customFormat="false" ht="15" hidden="false" customHeight="false" outlineLevel="0" collapsed="false">
      <c r="A6" s="19" t="s">
        <v>261</v>
      </c>
      <c r="B6" s="20" t="s">
        <v>262</v>
      </c>
      <c r="C6" s="17" t="s">
        <v>263</v>
      </c>
      <c r="D6" s="17" t="s">
        <v>264</v>
      </c>
      <c r="E6" s="20" t="s">
        <v>260</v>
      </c>
    </row>
    <row r="7" customFormat="false" ht="15" hidden="false" customHeight="false" outlineLevel="0" collapsed="false">
      <c r="A7" s="19" t="s">
        <v>265</v>
      </c>
      <c r="B7" s="20" t="s">
        <v>266</v>
      </c>
      <c r="C7" s="17" t="s">
        <v>267</v>
      </c>
      <c r="D7" s="17" t="s">
        <v>268</v>
      </c>
      <c r="E7" s="20" t="s">
        <v>260</v>
      </c>
    </row>
    <row r="8" customFormat="false" ht="15" hidden="false" customHeight="false" outlineLevel="0" collapsed="false">
      <c r="A8" s="19" t="s">
        <v>269</v>
      </c>
      <c r="B8" s="20" t="s">
        <v>266</v>
      </c>
      <c r="C8" s="17" t="s">
        <v>270</v>
      </c>
      <c r="D8" s="17" t="s">
        <v>271</v>
      </c>
      <c r="E8" s="20" t="s">
        <v>260</v>
      </c>
    </row>
    <row r="9" customFormat="false" ht="15" hidden="false" customHeight="false" outlineLevel="0" collapsed="false">
      <c r="A9" s="19" t="s">
        <v>272</v>
      </c>
      <c r="B9" s="20" t="s">
        <v>266</v>
      </c>
      <c r="C9" s="17" t="s">
        <v>270</v>
      </c>
      <c r="D9" s="17" t="s">
        <v>273</v>
      </c>
      <c r="E9" s="20" t="s">
        <v>260</v>
      </c>
    </row>
    <row r="10" customFormat="false" ht="15" hidden="false" customHeight="false" outlineLevel="0" collapsed="false">
      <c r="A10" s="19" t="s">
        <v>274</v>
      </c>
      <c r="B10" s="20" t="s">
        <v>266</v>
      </c>
      <c r="C10" s="17" t="s">
        <v>275</v>
      </c>
      <c r="D10" s="17" t="s">
        <v>276</v>
      </c>
      <c r="E10" s="20" t="s">
        <v>260</v>
      </c>
    </row>
    <row r="11" customFormat="false" ht="15" hidden="false" customHeight="false" outlineLevel="0" collapsed="false">
      <c r="A11" s="19" t="s">
        <v>277</v>
      </c>
      <c r="B11" s="20" t="s">
        <v>266</v>
      </c>
      <c r="C11" s="17" t="s">
        <v>278</v>
      </c>
      <c r="D11" s="17" t="s">
        <v>279</v>
      </c>
      <c r="E11" s="20" t="s">
        <v>260</v>
      </c>
    </row>
    <row r="12" customFormat="false" ht="15" hidden="false" customHeight="false" outlineLevel="0" collapsed="false">
      <c r="A12" s="19" t="s">
        <v>280</v>
      </c>
      <c r="B12" s="20" t="s">
        <v>266</v>
      </c>
      <c r="C12" s="17" t="s">
        <v>258</v>
      </c>
      <c r="D12" s="17" t="s">
        <v>281</v>
      </c>
      <c r="E12" s="20" t="s">
        <v>260</v>
      </c>
    </row>
    <row r="13" customFormat="false" ht="15" hidden="false" customHeight="false" outlineLevel="0" collapsed="false">
      <c r="A13" s="19" t="s">
        <v>282</v>
      </c>
      <c r="B13" s="20" t="s">
        <v>257</v>
      </c>
      <c r="C13" s="17" t="s">
        <v>283</v>
      </c>
      <c r="D13" s="17" t="s">
        <v>284</v>
      </c>
      <c r="E13" s="20" t="s">
        <v>260</v>
      </c>
    </row>
    <row r="14" customFormat="false" ht="15" hidden="false" customHeight="false" outlineLevel="0" collapsed="false">
      <c r="A14" s="19" t="s">
        <v>285</v>
      </c>
      <c r="B14" s="20" t="s">
        <v>262</v>
      </c>
      <c r="C14" s="17" t="s">
        <v>286</v>
      </c>
      <c r="D14" s="17" t="s">
        <v>287</v>
      </c>
      <c r="E14" s="20" t="s">
        <v>260</v>
      </c>
    </row>
    <row r="15" customFormat="false" ht="15" hidden="false" customHeight="false" outlineLevel="0" collapsed="false">
      <c r="A15" s="19" t="s">
        <v>288</v>
      </c>
      <c r="B15" s="20" t="s">
        <v>266</v>
      </c>
      <c r="C15" s="17" t="s">
        <v>289</v>
      </c>
      <c r="D15" s="17" t="s">
        <v>290</v>
      </c>
      <c r="E15" s="20" t="s">
        <v>260</v>
      </c>
    </row>
    <row r="16" customFormat="false" ht="15" hidden="false" customHeight="false" outlineLevel="0" collapsed="false">
      <c r="A16" s="19" t="s">
        <v>291</v>
      </c>
      <c r="B16" s="20" t="s">
        <v>266</v>
      </c>
      <c r="C16" s="17" t="s">
        <v>292</v>
      </c>
      <c r="D16" s="17" t="s">
        <v>293</v>
      </c>
      <c r="E16" s="20" t="s">
        <v>260</v>
      </c>
    </row>
    <row r="17" customFormat="false" ht="15" hidden="false" customHeight="false" outlineLevel="0" collapsed="false">
      <c r="A17" s="19" t="s">
        <v>294</v>
      </c>
      <c r="B17" s="20" t="s">
        <v>257</v>
      </c>
      <c r="C17" s="17" t="s">
        <v>295</v>
      </c>
      <c r="D17" s="17" t="s">
        <v>296</v>
      </c>
      <c r="E17" s="20" t="s">
        <v>260</v>
      </c>
    </row>
    <row r="18" customFormat="false" ht="15" hidden="false" customHeight="false" outlineLevel="0" collapsed="false">
      <c r="A18" s="19" t="s">
        <v>297</v>
      </c>
      <c r="B18" s="20" t="s">
        <v>257</v>
      </c>
      <c r="C18" s="17" t="s">
        <v>298</v>
      </c>
      <c r="D18" s="17" t="s">
        <v>299</v>
      </c>
      <c r="E18" s="20" t="s">
        <v>260</v>
      </c>
    </row>
    <row r="19" customFormat="false" ht="15" hidden="false" customHeight="false" outlineLevel="0" collapsed="false">
      <c r="A19" s="19" t="s">
        <v>300</v>
      </c>
      <c r="B19" s="20" t="s">
        <v>257</v>
      </c>
      <c r="C19" s="17" t="s">
        <v>301</v>
      </c>
      <c r="D19" s="17" t="s">
        <v>302</v>
      </c>
      <c r="E19" s="20" t="s">
        <v>303</v>
      </c>
    </row>
    <row r="20" customFormat="false" ht="15" hidden="false" customHeight="false" outlineLevel="0" collapsed="false">
      <c r="A20" s="19" t="s">
        <v>304</v>
      </c>
      <c r="B20" s="20" t="s">
        <v>305</v>
      </c>
      <c r="C20" s="17" t="s">
        <v>306</v>
      </c>
      <c r="D20" s="17" t="s">
        <v>307</v>
      </c>
      <c r="E20" s="20" t="s">
        <v>303</v>
      </c>
    </row>
    <row r="21" customFormat="false" ht="15" hidden="false" customHeight="false" outlineLevel="0" collapsed="false">
      <c r="A21" s="19" t="s">
        <v>308</v>
      </c>
      <c r="B21" s="20" t="s">
        <v>309</v>
      </c>
      <c r="C21" s="17" t="s">
        <v>310</v>
      </c>
      <c r="D21" s="17" t="s">
        <v>311</v>
      </c>
      <c r="E21" s="20" t="s">
        <v>303</v>
      </c>
    </row>
    <row r="22" customFormat="false" ht="15" hidden="false" customHeight="false" outlineLevel="0" collapsed="false">
      <c r="A22" s="19" t="s">
        <v>312</v>
      </c>
      <c r="B22" s="20" t="s">
        <v>313</v>
      </c>
      <c r="C22" s="17" t="s">
        <v>314</v>
      </c>
      <c r="D22" s="17" t="s">
        <v>315</v>
      </c>
      <c r="E22" s="20" t="s">
        <v>303</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8359375" defaultRowHeight="15" customHeight="false"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95"/>
    <col collapsed="false" customWidth="true" hidden="false" outlineLevel="0" max="4" min="4" style="1" width="38"/>
  </cols>
  <sheetData>
    <row r="1" customFormat="false" ht="17.35" hidden="false" customHeight="false" outlineLevel="0" collapsed="false">
      <c r="A1" s="2" t="s">
        <v>316</v>
      </c>
    </row>
    <row r="2" customFormat="false" ht="30" hidden="false" customHeight="true" outlineLevel="0" collapsed="false">
      <c r="A2" s="14" t="s">
        <v>317</v>
      </c>
      <c r="B2" s="14"/>
      <c r="C2" s="14"/>
      <c r="D2" s="14"/>
    </row>
    <row r="4" customFormat="false" ht="15" hidden="false" customHeight="false" outlineLevel="0" collapsed="false">
      <c r="A4" s="7" t="s">
        <v>318</v>
      </c>
      <c r="B4" s="7" t="s">
        <v>319</v>
      </c>
      <c r="C4" s="7" t="s">
        <v>320</v>
      </c>
      <c r="D4" s="7" t="s">
        <v>321</v>
      </c>
    </row>
    <row r="5" customFormat="false" ht="23.85" hidden="false" customHeight="false" outlineLevel="0" collapsed="false">
      <c r="A5" s="21" t="s">
        <v>322</v>
      </c>
      <c r="B5" s="19" t="s">
        <v>323</v>
      </c>
      <c r="C5" s="17" t="s">
        <v>324</v>
      </c>
      <c r="D5" s="22" t="inlineStr">
        <is>
          <t xml:space="preserve">Buyer: first, middle (optional) and last name, email, phone (+63 box), password and confirm password; then profile photo, birthday, sex, address (Province, City/Municipality, Barangay, optional street) and a government ID photo. No Terms and Privacy checkbox. Sellers, courier companies and riders first create this account, then apply with their own form (shop/company details and documents).</t>
        </is>
      </c>
    </row>
    <row r="6" customFormat="false" ht="15" hidden="false" customHeight="false" outlineLevel="0" collapsed="false">
      <c r="A6" s="21" t="s">
        <v>325</v>
      </c>
      <c r="B6" s="19" t="s">
        <v>326</v>
      </c>
      <c r="C6" s="17" t="s">
        <v>327</v>
      </c>
      <c r="D6" s="22" t="inlineStr">
        <is>
          <t xml:space="preserve">Required, up to 50 characters. No minimum length and no character check: digits and symbols are accepted; ñ, hyphen and apostrophe work.</t>
        </is>
      </c>
    </row>
    <row r="7" customFormat="false" ht="23.85" hidden="false" customHeight="false" outlineLevel="0" collapsed="false">
      <c r="A7" s="21" t="s">
        <v>328</v>
      </c>
      <c r="B7" s="19" t="s">
        <v>329</v>
      </c>
      <c r="C7" s="17" t="s">
        <v>330</v>
      </c>
      <c r="D7" s="22" t="inlineStr">
        <is>
          <t xml:space="preserve">Checked by the browser and by the server, including a DNS check that the domain accepts mail (example.com is rejected because it has a null MX). Unique across all roles, not case-sensitive; spaces around it are removed. Max 100 characters.</t>
        </is>
      </c>
    </row>
    <row r="8" customFormat="false" ht="23.85" hidden="false" customHeight="false" outlineLevel="0" collapsed="false">
      <c r="A8" s="21" t="s">
        <v>331</v>
      </c>
      <c r="B8" s="19" t="s">
        <v>332</v>
      </c>
      <c r="C8" s="17" t="s">
        <v>333</v>
      </c>
      <c r="D8" s="22" t="inlineStr">
        <is>
          <t xml:space="preserve">Typed after a fixed country-code dropdown (+63 by default). The box keeps digits only and at most 10 of them, with no message: 09XXXXXXXXX loses its last digit and +63 typed in the box is not recognised. Saved as +63 plus the digits; unique; no check that it is a mobile (09) number.</t>
        </is>
      </c>
    </row>
    <row r="9" customFormat="false" ht="23.85" hidden="false" customHeight="false" outlineLevel="0" collapsed="false">
      <c r="A9" s="21" t="s">
        <v>334</v>
      </c>
      <c r="B9" s="19" t="s">
        <v>335</v>
      </c>
      <c r="C9" s="17" t="s">
        <v>336</v>
      </c>
      <c r="D9" s="22" t="inlineStr">
        <is>
          <t xml:space="preserve">At least 8 characters with upper and lower case, a number and a symbol, and not found in known password leaks. Confirm Password must match. No show/hide icon.</t>
        </is>
      </c>
    </row>
    <row r="10" customFormat="false" ht="15" hidden="false" customHeight="false" outlineLevel="0" collapsed="false">
      <c r="A10" s="21" t="s">
        <v>337</v>
      </c>
      <c r="B10" s="19" t="s">
        <v>338</v>
      </c>
      <c r="C10" s="17" t="s">
        <v>339</v>
      </c>
      <c r="D10" s="22" t="inlineStr">
        <is>
          <t xml:space="preserve">Buyers must be at least 18 on the day they register; the birthday picker does not allow future dates.</t>
        </is>
      </c>
    </row>
    <row r="11" customFormat="false" ht="23.85" hidden="false" customHeight="false" outlineLevel="0" collapsed="false">
      <c r="A11" s="21" t="s">
        <v>340</v>
      </c>
      <c r="B11" s="19" t="s">
        <v>341</v>
      </c>
      <c r="C11" s="17" t="s">
        <v>342</v>
      </c>
      <c r="D11" s="22" t="inlineStr">
        <is>
          <t xml:space="preserve">Buyer and seller address: Province → City/Municipality → Barangay (PSGC lists; NCR is listed as "Metro Manila (NCR)"; no Region dropdown). The courier company form starts at Region. No postal code anywhere.</t>
        </is>
      </c>
    </row>
    <row r="12" customFormat="false" ht="15" hidden="false" customHeight="false" outlineLevel="0" collapsed="false">
      <c r="A12" s="21" t="s">
        <v>343</v>
      </c>
      <c r="B12" s="19" t="s">
        <v>344</v>
      </c>
      <c r="C12" s="17" t="s">
        <v>345</v>
      </c>
      <c r="D12" s="22" t="inlineStr">
        <is>
          <t xml:space="preserve">No TIN is collected.</t>
        </is>
      </c>
    </row>
    <row r="13" customFormat="false" ht="23.85" hidden="false" customHeight="false" outlineLevel="0" collapsed="false">
      <c r="A13" s="21" t="s">
        <v>346</v>
      </c>
      <c r="B13" s="19" t="s">
        <v>347</v>
      </c>
      <c r="C13" s="17" t="s">
        <v>348</v>
      </c>
      <c r="D13" s="22" t="inlineStr">
        <is>
          <t xml:space="preserve">No email OTP. A welcome email is sent on registration; buyers are then verified by an admin who checks the government ID (pending → approved or rejected), and applicants get an email when an application is received and decided.</t>
        </is>
      </c>
    </row>
    <row r="14" customFormat="false" ht="15" hidden="false" customHeight="false" outlineLevel="0" collapsed="false">
      <c r="A14" s="21" t="s">
        <v>349</v>
      </c>
      <c r="B14" s="19" t="s">
        <v>350</v>
      </c>
      <c r="C14" s="17" t="s">
        <v>351</v>
      </c>
      <c r="D14" s="22" t="inlineStr">
        <is>
          <t xml:space="preserve">JPG, PNG or PDF (profile photo also WebP), up to 5 MB in the app. However, the server's PHP settings allow only 2 MB per file and 8 MB per form, so files between 2 MB and 5 MB fail with "The … failed to upload."</t>
        </is>
      </c>
    </row>
    <row r="15" customFormat="false" ht="23.85" hidden="false" customHeight="false" outlineLevel="0" collapsed="false">
      <c r="A15" s="21" t="s">
        <v>352</v>
      </c>
      <c r="B15" s="19" t="s">
        <v>353</v>
      </c>
      <c r="C15" s="17" t="s">
        <v>354</v>
      </c>
      <c r="D15" s="22" t="inlineStr">
        <is>
          <t xml:space="preserve">No seller type. Every seller uploads a government ID (back too for some ID types), a selfie holding the ID, an LGU business permit and a DTI or SEC registration; an FDA LTO is optional.</t>
        </is>
      </c>
    </row>
    <row r="16" customFormat="false" ht="23.85" hidden="false" customHeight="false" outlineLevel="0" collapsed="false">
      <c r="A16" s="21" t="s">
        <v>355</v>
      </c>
      <c r="B16" s="19" t="s">
        <v>356</v>
      </c>
      <c r="C16" s="17" t="s">
        <v>357</v>
      </c>
      <c r="D16" s="22" t="inlineStr">
        <is>
          <t xml:space="preserve">Buyer: pending (ID review) → approved or rejected; a pending buyer can already sign in and shop. Seller and courier company: apply from a signed-in account → pending → approved or rejected; a rejected applicant can apply again with a new full application. Applicants can sign in while pending; their portal stays closed.</t>
        </is>
      </c>
    </row>
    <row r="17" customFormat="false" ht="35.05" hidden="false" customHeight="false" outlineLevel="0" collapsed="false">
      <c r="A17" s="21" t="s">
        <v>358</v>
      </c>
      <c r="B17" s="19" t="s">
        <v>359</v>
      </c>
      <c r="C17" s="17" t="s">
        <v>360</v>
      </c>
      <c r="D17" s="22" t="inlineStr">
        <is>
          <t xml:space="preserve">Riders are not created by the logistics company. A rider creates a Loved-IT account, applies at /register/rider choosing an approved hub, and that hub approves (Pending → Active) or disapproves. No activation email or link; the rider sets the password at account creation.</t>
        </is>
      </c>
    </row>
    <row r="18" customFormat="false" ht="23.85" hidden="false" customHeight="false" outlineLevel="0" collapsed="false">
      <c r="A18" s="21" t="s">
        <v>361</v>
      </c>
      <c r="B18" s="19" t="s">
        <v>362</v>
      </c>
      <c r="C18" s="17" t="s">
        <v>363</v>
      </c>
      <c r="D18" s="22" t="inlineStr">
        <is>
          <t xml:space="preserve">Unique: shop name (up to 100 characters, no minimum), courier company name and its 2–6 character short code. Not unique: plate number. No SEC registration number or driver's license number fields.</t>
        </is>
      </c>
    </row>
    <row r="19" customFormat="false" ht="15" hidden="false" customHeight="false" outlineLevel="0" collapsed="false">
      <c r="A19" s="21" t="s">
        <v>364</v>
      </c>
      <c r="B19" s="19" t="s">
        <v>365</v>
      </c>
      <c r="C19" s="17" t="s">
        <v>366</v>
      </c>
      <c r="D19" s="22" t="inlineStr">
        <is>
          <t xml:space="preserve">No license number or expiry date; the rider uploads a photo or scan of the driver's license and the OR/CR, which the hub checks.</t>
        </is>
      </c>
    </row>
    <row r="20" customFormat="false" ht="15" hidden="false" customHeight="false" outlineLevel="0" collapsed="false">
      <c r="A20" s="21" t="s">
        <v>367</v>
      </c>
      <c r="B20" s="19" t="s">
        <v>368</v>
      </c>
      <c r="C20" s="17" t="s">
        <v>369</v>
      </c>
      <c r="D20" s="22" t="inlineStr">
        <is>
          <t xml:space="preserve">Pages of another role redirect (to the home page, the login page or the role's application page); the API answers 403.</t>
        </is>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8359375" defaultRowHeight="15" customHeight="false"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28"/>
    <col collapsed="false" customWidth="true" hidden="false" outlineLevel="0" max="4" min="4" style="1" width="16"/>
    <col collapsed="false" customWidth="true" hidden="false" outlineLevel="0" max="5" min="5" style="1" width="9"/>
    <col collapsed="false" customWidth="true" hidden="false" outlineLevel="0" max="6" min="6" style="1" width="30"/>
    <col collapsed="false" customWidth="true" hidden="false" outlineLevel="0" max="7" min="7" style="1" width="40"/>
    <col collapsed="false" customWidth="true" hidden="false" outlineLevel="0" max="8" min="8" style="1" width="34"/>
    <col collapsed="false" customWidth="true" hidden="false" outlineLevel="0" max="9" min="9" style="1" width="44"/>
    <col collapsed="false" customWidth="true" hidden="false" outlineLevel="0" max="10" min="10" style="1" width="11"/>
    <col collapsed="false" customWidth="true" hidden="false" outlineLevel="0" max="11" min="11" style="1" width="30"/>
    <col collapsed="false" customWidth="true" hidden="false" outlineLevel="0" max="12" min="12" style="1" width="10"/>
    <col collapsed="false" customWidth="true" hidden="false" outlineLevel="0" max="13" min="13" style="1" width="24"/>
  </cols>
  <sheetData>
    <row r="1" customFormat="false" ht="27.75" hidden="false" customHeight="true" outlineLevel="0" collapsed="false">
      <c r="A1" s="7" t="s">
        <v>31</v>
      </c>
      <c r="B1" s="7" t="s">
        <v>370</v>
      </c>
      <c r="C1" s="7" t="s">
        <v>32</v>
      </c>
      <c r="D1" s="7" t="s">
        <v>371</v>
      </c>
      <c r="E1" s="7" t="s">
        <v>372</v>
      </c>
      <c r="F1" s="7" t="s">
        <v>373</v>
      </c>
      <c r="G1" s="7" t="s">
        <v>374</v>
      </c>
      <c r="H1" s="7" t="s">
        <v>375</v>
      </c>
      <c r="I1" s="7" t="s">
        <v>33</v>
      </c>
      <c r="J1" s="7" t="s">
        <v>376</v>
      </c>
      <c r="K1" s="7" t="s">
        <v>34</v>
      </c>
      <c r="L1" s="7" t="s">
        <v>35</v>
      </c>
      <c r="M1" s="7" t="s">
        <v>36</v>
      </c>
    </row>
    <row r="2" customFormat="false" ht="292.5" hidden="false" customHeight="false" outlineLevel="0" collapsed="false">
      <c r="A2" s="21" t="s">
        <v>377</v>
      </c>
      <c r="B2" s="17" t="s">
        <v>378</v>
      </c>
      <c r="C2" s="17" t="s">
        <v>379</v>
      </c>
      <c r="D2" s="17" t="s">
        <v>51</v>
      </c>
      <c r="E2" s="20" t="s">
        <v>380</v>
      </c>
      <c r="F2" s="17" t="s">
        <v>381</v>
      </c>
      <c r="G2" s="17" t="s">
        <v>382</v>
      </c>
      <c r="H2" s="17" t="s">
        <v>383</v>
      </c>
      <c r="I2" s="17" t="s">
        <v>384</v>
      </c>
      <c r="J2" s="20" t="s">
        <v>385</v>
      </c>
      <c r="K2" s="22" t="inlineStr">
        <is>
          <t xml:space="preserve">Account step (Carlos Antonio Mendoza): accepted ("Account Submitted!"). Courier application (company name, short code BHE, description, contact number 09285551234, National Capital Region (NCR) &gt; Metro Manila (NCR) &gt; City of Pasig &gt; Kapitolyo, street, mayors_permit.pdf): accepted with no errors; the page changed to "Under review – We're reviewing Bilis Hatid Express Inc.". The company is saved with status PENDING. Emails: Welcome to Loved-IT!; We received your courier company application. No OTP was sent and no email verification page opened.</t>
        </is>
      </c>
      <c r="L2" s="23" t="inlineStr">
        <is>
          <t xml:space="preserve">Fail</t>
        </is>
      </c>
      <c r="M2" s="22" t="inlineStr">
        <is>
          <t xml:space="preserve">Design difference (A9, A12): no email OTP; the application goes to admin review. The form has no SEC Registration No., TIN, Postal Code, Position, Service Areas, BIR 2303 or representative ID upload; it asks for a 2–6 character short code (BHE was used) and one business permit. The test-data addresses use example.com, which the system's email check rejects (null MX), so the same name was used with @gmail.com (operations.bilishatid@gmail.com); mail went to the isolated test log only. Screenshot: TC-LOG-001.jpg Recovered evidence from the prior recorded browser run; reviewed in this continuation, not rerun as a fresh account test.</t>
        </is>
      </c>
    </row>
    <row r="3" customFormat="false" ht="35.05" hidden="false" customHeight="false" outlineLevel="0" collapsed="false">
      <c r="A3" s="21" t="s">
        <v>386</v>
      </c>
      <c r="B3" s="17" t="s">
        <v>387</v>
      </c>
      <c r="C3" s="17" t="s">
        <v>388</v>
      </c>
      <c r="D3" s="17" t="s">
        <v>43</v>
      </c>
      <c r="E3" s="20" t="s">
        <v>380</v>
      </c>
      <c r="F3" s="17" t="s">
        <v>389</v>
      </c>
      <c r="G3" s="17" t="s">
        <v>390</v>
      </c>
      <c r="H3" s="17" t="s">
        <v>391</v>
      </c>
      <c r="I3" s="17" t="s">
        <v>392</v>
      </c>
      <c r="J3" s="20" t="s">
        <v>322</v>
      </c>
      <c r="K3" s="22" t="inlineStr">
        <is>
          <t xml:space="preserve">Submitting the courier application with every field left as it opened showed all required-field messages at once: Company name is required. / Use 2 to 6 letters or numbers (for example JNT). / Province is required. / City or municipality is required. / Barangay is required. / Street or building address is required. / Upload your DTI, SEC or Mayor's Permit. No application was created.</t>
        </is>
      </c>
      <c r="L3" s="23" t="inlineStr">
        <is>
          <t xml:space="preserve">Pass</t>
        </is>
      </c>
      <c r="M3" s="22" t="inlineStr">
        <is>
          <t xml:space="preserve">Contact email and contact number are pre-filled from the applicant's account (qa.acct_logistics.101@gmail.com, +639521000101), so they are never blank. The account step (name, email, mobile, password) behaves as in TC-BUY-002. Screenshot: TC-LOG-002.jpg Recovered evidence from the prior recorded browser run; reviewed in this continuation, not rerun as a fresh account test.</t>
        </is>
      </c>
    </row>
    <row r="4" customFormat="false" ht="247.75" hidden="false" customHeight="false" outlineLevel="0" collapsed="false">
      <c r="A4" s="21" t="s">
        <v>393</v>
      </c>
      <c r="B4" s="17" t="s">
        <v>387</v>
      </c>
      <c r="C4" s="17" t="s">
        <v>394</v>
      </c>
      <c r="D4" s="17" t="s">
        <v>43</v>
      </c>
      <c r="E4" s="20" t="s">
        <v>380</v>
      </c>
      <c r="F4" s="17" t="s">
        <v>389</v>
      </c>
      <c r="G4" s="17" t="s">
        <v>395</v>
      </c>
      <c r="H4" s="17" t="s">
        <v>396</v>
      </c>
      <c r="I4" s="17" t="s">
        <v>397</v>
      </c>
      <c r="J4" s="20" t="s">
        <v>322</v>
      </c>
      <c r="K4" s="22" t="inlineStr">
        <is>
          <t xml:space="preserve">Company Name: blocked – Company name is required.; Short code: blocked – Use 2 to 6 letters or numbers (for example JNT). (company name kept: yes); Region/Province/City/Barangay: blocked – Province is required. / City or municipality is required. / Barangay is required. (company name kept: yes); Street Address: blocked – Street or building address is required. (company name kept: yes); Business permit: blocked – Upload your DTI, SEC or Mayor's Permit. (company name kept: yes); Contact email and contact number: when emptied they immediately refill with the account's own values (qa.acct_logistics.102@gmail.com, +639521000102), so they cannot be left blank. The account-step fields (contact person first and last name, email, mobile, password, confirm password) each block with a message on that field only, as in TC-BUY-003.</t>
        </is>
      </c>
      <c r="L4" s="23" t="inlineStr">
        <is>
          <t xml:space="preserve">Pass</t>
        </is>
      </c>
      <c r="M4" s="22" t="inlineStr">
        <is>
          <t xml:space="preserve">SEC Registration No., TIN, Postal Code, Position, Service Areas, BIR Form 2303 and the representative's ID upload are not on the form. Screenshot: TC-LOG-003.jpg Recovered evidence from the prior recorded browser run; reviewed in this continuation, not rerun as a fresh account test.</t>
        </is>
      </c>
    </row>
    <row r="5" customFormat="false" ht="35.05" hidden="false" customHeight="false" outlineLevel="0" collapsed="false">
      <c r="A5" s="21" t="s">
        <v>398</v>
      </c>
      <c r="B5" s="17" t="s">
        <v>399</v>
      </c>
      <c r="C5" s="17" t="s">
        <v>400</v>
      </c>
      <c r="D5" s="17" t="s">
        <v>43</v>
      </c>
      <c r="E5" s="20" t="s">
        <v>401</v>
      </c>
      <c r="F5" s="17" t="s">
        <v>389</v>
      </c>
      <c r="G5" s="17" t="s">
        <v>402</v>
      </c>
      <c r="H5" s="17" t="s">
        <v>403</v>
      </c>
      <c r="I5" s="17" t="s">
        <v>404</v>
      </c>
      <c r="J5" s="20" t="s">
        <v>325</v>
      </c>
      <c r="K5" s="22" t="inlineStr">
        <is>
          <t xml:space="preserve">Registration was accepted; the account was saved with first name "Carlos Antonio7" and last name "Dela Cruz@#". No message about letters only was shown.</t>
        </is>
      </c>
      <c r="L5" s="23" t="inlineStr">
        <is>
          <t xml:space="preserve">Fail</t>
        </is>
      </c>
      <c r="M5" s="22" t="inlineStr">
        <is>
          <t xml:space="preserve">Defect: name fields accept digits and symbols. In Loved-IT a logistics partner is a courier company: the contact person first creates a Loved-IT account at /register (name, email, mobile, password) and then applies at /register/courier; this field is on the account step, so the case was run there with the logistics test data. Screenshot: TC-LOG-004.jpg Recovered evidence from the prior recorded browser run; reviewed in this continuation, not rerun as a fresh account test.</t>
        </is>
      </c>
    </row>
    <row r="6" customFormat="false" ht="46.25" hidden="false" customHeight="false" outlineLevel="0" collapsed="false">
      <c r="A6" s="21" t="s">
        <v>405</v>
      </c>
      <c r="B6" s="17" t="s">
        <v>399</v>
      </c>
      <c r="C6" s="17" t="s">
        <v>406</v>
      </c>
      <c r="D6" s="17" t="s">
        <v>43</v>
      </c>
      <c r="E6" s="20" t="s">
        <v>407</v>
      </c>
      <c r="F6" s="17" t="s">
        <v>381</v>
      </c>
      <c r="G6" s="17" t="s">
        <v>402</v>
      </c>
      <c r="H6" s="17" t="s">
        <v>408</v>
      </c>
      <c r="I6" s="17" t="s">
        <v>409</v>
      </c>
      <c r="J6" s="20" t="s">
        <v>325</v>
      </c>
      <c r="K6" s="22" t="inlineStr">
        <is>
          <t xml:space="preserve">Registration was accepted and the names were saved as "Iñigo Rafael" and "Muñoz-D'Angelo".</t>
        </is>
      </c>
      <c r="L6" s="23" t="inlineStr">
        <is>
          <t xml:space="preserve">Pass</t>
        </is>
      </c>
      <c r="M6" s="22" t="inlineStr">
        <is>
          <t xml:space="preserve">In Loved-IT a logistics partner is a courier company: the contact person first creates a Loved-IT account at /register (name, email, mobile, password) and then applies at /register/courier; this field is on the account step, so the case was run there with the logistics test data. Screenshot: TC-LOG-005.jpg Recovered evidence from the prior recorded browser run; reviewed in this continuation, not rerun as a fresh account test.</t>
        </is>
      </c>
    </row>
    <row r="7" customFormat="false" ht="68.65" hidden="false" customHeight="false" outlineLevel="0" collapsed="false">
      <c r="A7" s="21" t="s">
        <v>410</v>
      </c>
      <c r="B7" s="17" t="s">
        <v>399</v>
      </c>
      <c r="C7" s="17" t="s">
        <v>411</v>
      </c>
      <c r="D7" s="17" t="s">
        <v>45</v>
      </c>
      <c r="E7" s="20" t="s">
        <v>401</v>
      </c>
      <c r="F7" s="17" t="s">
        <v>381</v>
      </c>
      <c r="G7" s="17" t="s">
        <v>412</v>
      </c>
      <c r="H7" s="17" t="s">
        <v>413</v>
      </c>
      <c r="I7" s="17" t="s">
        <v>414</v>
      </c>
      <c r="J7" s="20" t="s">
        <v>325</v>
      </c>
      <c r="K7" s="22" t="inlineStr">
        <is>
          <t xml:space="preserve">1 character: accepted; 2 characters: accepted; 50 characters: accepted; 51 characters: rejected ("The first name field must not be greater than 50 characters.").</t>
        </is>
      </c>
      <c r="L7" s="23" t="inlineStr">
        <is>
          <t xml:space="preserve">Fail</t>
        </is>
      </c>
      <c r="M7" s="22" t="inlineStr">
        <is>
          <t xml:space="preserve">Defect: a 1-character name is accepted. In Loved-IT a logistics partner is a courier company: the contact person first creates a Loved-IT account at /register (name, email, mobile, password) and then applies at /register/courier; this field is on the account step, so the case was run there with the logistics test data. Screenshot: TC-LOG-006.jpg Recovered evidence from the prior recorded browser run; reviewed in this continuation, not rerun as a fresh account test.</t>
        </is>
      </c>
    </row>
    <row r="8" customFormat="false" ht="57.45" hidden="false" customHeight="false" outlineLevel="0" collapsed="false">
      <c r="A8" s="21" t="s">
        <v>415</v>
      </c>
      <c r="B8" s="17" t="s">
        <v>74</v>
      </c>
      <c r="C8" s="17" t="s">
        <v>416</v>
      </c>
      <c r="D8" s="17" t="s">
        <v>43</v>
      </c>
      <c r="E8" s="20" t="s">
        <v>380</v>
      </c>
      <c r="F8" s="17" t="s">
        <v>389</v>
      </c>
      <c r="G8" s="17" t="s">
        <v>417</v>
      </c>
      <c r="H8" s="17" t="s">
        <v>418</v>
      </c>
      <c r="I8" s="17" t="s">
        <v>419</v>
      </c>
      <c r="J8" s="20" t="s">
        <v>328</v>
      </c>
      <c r="K8" s="22" t="inlineStr">
        <is>
          <t xml:space="preserve">"operations.bilishatidgmail.com": rejected (Please include an '@' in the email address. 'operations.bilishatidgmail.com' is missing an '@'.); "operations.bilishatid@": rejected (Please enter a part following '@'. 'operations.bilishatid@' is incomplete.); "@gmail.com": rejected (Please enter a part followed by '@'. '@gmail.com' is incomplete.); "operations.bilishatid@example": rejected (The email field must be a valid email address.); "operations bilishatid@gmail.com": rejected (A part followed by '@' should not contain the symbol ' '.). No account was created.</t>
        </is>
      </c>
      <c r="L8" s="23" t="inlineStr">
        <is>
          <t xml:space="preserve">Pass</t>
        </is>
      </c>
      <c r="M8" s="22" t="inlineStr">
        <is>
          <t xml:space="preserve">In Loved-IT a logistics partner is a courier company: the contact person first creates a Loved-IT account at /register (name, email, mobile, password) and then applies at /register/courier; this field is on the account step, so the case was run there with the logistics test data. @gmail.com used in place of @example.com. Screenshot: TC-LOG-007.jpg Recovered evidence from the prior recorded browser run; reviewed in this continuation, not rerun as a fresh account test.</t>
        </is>
      </c>
    </row>
    <row r="9" customFormat="false" ht="46.25" hidden="false" customHeight="false" outlineLevel="0" collapsed="false">
      <c r="A9" s="21" t="s">
        <v>420</v>
      </c>
      <c r="B9" s="17" t="s">
        <v>74</v>
      </c>
      <c r="C9" s="17" t="s">
        <v>38</v>
      </c>
      <c r="D9" s="17" t="s">
        <v>43</v>
      </c>
      <c r="E9" s="20" t="s">
        <v>380</v>
      </c>
      <c r="F9" s="17" t="s">
        <v>421</v>
      </c>
      <c r="G9" s="17" t="s">
        <v>422</v>
      </c>
      <c r="H9" s="17" t="s">
        <v>423</v>
      </c>
      <c r="I9" s="17" t="s">
        <v>39</v>
      </c>
      <c r="J9" s="20" t="s">
        <v>328</v>
      </c>
      <c r="K9" s="22" t="inlineStr">
        <is>
          <t xml:space="preserve">The existing email was treated as a duplicate and registration was blocked: "The email has already been taken.". Accounts with this email: 1.</t>
        </is>
      </c>
      <c r="L9" s="23" t="inlineStr">
        <is>
          <t xml:space="preserve">Pass</t>
        </is>
      </c>
      <c r="M9" s="22" t="inlineStr">
        <is>
          <t xml:space="preserve">In Loved-IT a logistics partner is a courier company: the contact person first creates a Loved-IT account at /register (name, email, mobile, password) and then applies at /register/courier; this field is on the account step, so the case was run there with the logistics test data. The test-data addresses use example.com, which the system's email check rejects (null MX), so the same name was used with @gmail.com (operations.bilishatid@gmail.com); mail went to the isolated test log only. Screenshot: TC-LOG-008.jpg Recovered evidence from the prior recorded browser run; reviewed in this continuation, not rerun as a fresh account test.</t>
        </is>
      </c>
    </row>
    <row r="10" customFormat="false" ht="46.25" hidden="false" customHeight="false" outlineLevel="0" collapsed="false">
      <c r="A10" s="21" t="s">
        <v>424</v>
      </c>
      <c r="B10" s="17" t="s">
        <v>74</v>
      </c>
      <c r="C10" s="17" t="s">
        <v>425</v>
      </c>
      <c r="D10" s="17" t="s">
        <v>53</v>
      </c>
      <c r="E10" s="20" t="s">
        <v>401</v>
      </c>
      <c r="F10" s="17" t="s">
        <v>421</v>
      </c>
      <c r="G10" s="17" t="s">
        <v>426</v>
      </c>
      <c r="H10" s="17" t="s">
        <v>427</v>
      </c>
      <c r="I10" s="17" t="s">
        <v>428</v>
      </c>
      <c r="J10" s="20" t="s">
        <v>328</v>
      </c>
      <c r="K10" s="22" t="inlineStr">
        <is>
          <t xml:space="preserve">The capitalised email was treated as a duplicate and registration was blocked: "The email has already been taken.". Accounts with this email: 1.</t>
        </is>
      </c>
      <c r="L10" s="23" t="inlineStr">
        <is>
          <t xml:space="preserve">Pass</t>
        </is>
      </c>
      <c r="M10" s="22" t="inlineStr">
        <is>
          <t xml:space="preserve">In Loved-IT a logistics partner is a courier company: the contact person first creates a Loved-IT account at /register (name, email, mobile, password) and then applies at /register/courier; this field is on the account step, so the case was run there with the logistics test data. The test-data addresses use example.com, which the system's email check rejects (null MX), so the same name was used with @gmail.com (operations.bilishatid@gmail.com); mail went to the isolated test log only. Screenshot: TC-LOG-009.jpg Recovered evidence from the prior recorded browser run; reviewed in this continuation, not rerun as a fresh account test.</t>
        </is>
      </c>
    </row>
    <row r="11" customFormat="false" ht="46.25" hidden="false" customHeight="false" outlineLevel="0" collapsed="false">
      <c r="A11" s="21" t="s">
        <v>429</v>
      </c>
      <c r="B11" s="17" t="s">
        <v>74</v>
      </c>
      <c r="C11" s="17" t="s">
        <v>430</v>
      </c>
      <c r="D11" s="17" t="s">
        <v>53</v>
      </c>
      <c r="E11" s="20" t="s">
        <v>407</v>
      </c>
      <c r="F11" s="17" t="s">
        <v>381</v>
      </c>
      <c r="G11" s="17" t="s">
        <v>431</v>
      </c>
      <c r="H11" s="17" t="s">
        <v>432</v>
      </c>
      <c r="I11" s="17" t="s">
        <v>433</v>
      </c>
      <c r="J11" s="20" t="s">
        <v>328</v>
      </c>
      <c r="K11" s="22" t="inlineStr">
        <is>
          <t xml:space="preserve">Registration was accepted and the email was saved as "logistics.test01@gmail.com" with no spaces.</t>
        </is>
      </c>
      <c r="L11" s="23" t="inlineStr">
        <is>
          <t xml:space="preserve">Pass</t>
        </is>
      </c>
      <c r="M11" s="22" t="inlineStr">
        <is>
          <t xml:space="preserve">In Loved-IT a logistics partner is a courier company: the contact person first creates a Loved-IT account at /register (name, email, mobile, password) and then applies at /register/courier; this field is on the account step, so the case was run there with the logistics test data. Screenshot: TC-LOG-010.jpg Recovered evidence from the prior recorded browser run; reviewed in this continuation, not rerun as a fresh account test.</t>
        </is>
      </c>
    </row>
    <row r="12" customFormat="false" ht="46.25" hidden="false" customHeight="false" outlineLevel="0" collapsed="false">
      <c r="A12" s="21" t="s">
        <v>434</v>
      </c>
      <c r="B12" s="17" t="s">
        <v>78</v>
      </c>
      <c r="C12" s="17" t="s">
        <v>435</v>
      </c>
      <c r="D12" s="17" t="s">
        <v>43</v>
      </c>
      <c r="E12" s="20" t="s">
        <v>380</v>
      </c>
      <c r="F12" s="17" t="s">
        <v>389</v>
      </c>
      <c r="G12" s="17" t="s">
        <v>436</v>
      </c>
      <c r="H12" s="17" t="s">
        <v>437</v>
      </c>
      <c r="I12" s="17" t="s">
        <v>438</v>
      </c>
      <c r="J12" s="20" t="s">
        <v>331</v>
      </c>
      <c r="K12" s="22" t="inlineStr">
        <is>
          <t xml:space="preserve">"0928ABC5123": accepted and saved as +6309285123; "0928-765-111": accepted and saved as +630928765111; "32345678901": accepted and saved as +633234567890; "02-8555-1234": accepted and saved as +630285551234.</t>
        </is>
      </c>
      <c r="L12" s="23" t="inlineStr">
        <is>
          <t xml:space="preserve">Fail</t>
        </is>
      </c>
      <c r="M12" s="22" t="inlineStr">
        <is>
          <t xml:space="preserve">Defect: letters and symbols are dropped silently and the digits are saved after +63; landlines and numbers not starting with 9 are accepted. Values equivalent to the test data were used (the 0917... ones were already saved in earlier tests). In Loved-IT a logistics partner is a courier company: the contact person first creates a Loved-IT account at /register (name, email, mobile, password) and then applies at /register/courier; this field is on the account step, so the case was run there with the logistics test data. Screenshot: TC-LOG-011.jpg Recovered evidence from the prior recorded browser run; reviewed in this continuation, not rerun as a fresh account test.</t>
        </is>
      </c>
    </row>
    <row r="13" customFormat="false" ht="46.25" hidden="false" customHeight="false" outlineLevel="0" collapsed="false">
      <c r="A13" s="21" t="s">
        <v>439</v>
      </c>
      <c r="B13" s="17" t="s">
        <v>78</v>
      </c>
      <c r="C13" s="17" t="s">
        <v>440</v>
      </c>
      <c r="D13" s="17" t="s">
        <v>45</v>
      </c>
      <c r="E13" s="20" t="s">
        <v>380</v>
      </c>
      <c r="F13" s="17" t="s">
        <v>381</v>
      </c>
      <c r="G13" s="17" t="s">
        <v>436</v>
      </c>
      <c r="H13" s="17" t="s">
        <v>441</v>
      </c>
      <c r="I13" s="17" t="s">
        <v>442</v>
      </c>
      <c r="J13" s="20" t="s">
        <v>331</v>
      </c>
      <c r="K13" s="22" t="inlineStr">
        <is>
          <t xml:space="preserve">10 digits "0928765432": accepted and saved as +630928765432; 11 digits "09280000001": accepted and saved as +630928000000; 12 digits "092876543210": rejected ("The phone has already been taken.").</t>
        </is>
      </c>
      <c r="L13" s="23" t="inlineStr">
        <is>
          <t xml:space="preserve">Fail</t>
        </is>
      </c>
      <c r="M13" s="22" t="inlineStr">
        <is>
          <t xml:space="preserve">Defect: the phone box after the fixed +63 keeps only the first 10 digits and gives no length message. A rejection here is only because the first 10 digits match a number saved in the attempt before. 0928... values were used so earlier tests (0917...) do not interfere. In Loved-IT a logistics partner is a courier company: the contact person first creates a Loved-IT account at /register (name, email, mobile, password) and then applies at /register/courier; this field is on the account step, so the case was run there with the logistics test data. Screenshot: TC-LOG-012.jpg Recovered evidence from the prior recorded browser run; reviewed in this continuation, not rerun as a fresh account test.</t>
        </is>
      </c>
    </row>
    <row r="14" customFormat="false" ht="35.05" hidden="false" customHeight="false" outlineLevel="0" collapsed="false">
      <c r="A14" s="21" t="s">
        <v>443</v>
      </c>
      <c r="B14" s="17" t="s">
        <v>78</v>
      </c>
      <c r="C14" s="17" t="s">
        <v>444</v>
      </c>
      <c r="D14" s="17" t="s">
        <v>43</v>
      </c>
      <c r="E14" s="20" t="s">
        <v>401</v>
      </c>
      <c r="F14" s="17" t="s">
        <v>445</v>
      </c>
      <c r="G14" s="17" t="s">
        <v>446</v>
      </c>
      <c r="H14" s="17" t="s">
        <v>447</v>
      </c>
      <c r="I14" s="17" t="s">
        <v>448</v>
      </c>
      <c r="J14" s="20" t="s">
        <v>331</v>
      </c>
      <c r="K14" s="22" t="inlineStr">
        <is>
          <t xml:space="preserve">Registration was blocked: "The phone has already been taken.".</t>
        </is>
      </c>
      <c r="L14" s="23" t="inlineStr">
        <is>
          <t xml:space="preserve">Pass</t>
        </is>
      </c>
      <c r="M14" s="22" t="inlineStr">
        <is>
          <t xml:space="preserve">Typed as 9285551234 after the +63 prefix, the way the existing account was saved. In Loved-IT a logistics partner is a courier company: the contact person first creates a Loved-IT account at /register (name, email, mobile, password) and then applies at /register/courier; this field is on the account step, so the case was run there with the logistics test data. Screenshot: TC-LOG-013.jpg Recovered evidence from the prior recorded browser run; reviewed in this continuation, not rerun as a fresh account test.</t>
        </is>
      </c>
    </row>
    <row r="15" customFormat="false" ht="35.05" hidden="false" customHeight="false" outlineLevel="0" collapsed="false">
      <c r="A15" s="21" t="s">
        <v>449</v>
      </c>
      <c r="B15" s="17" t="s">
        <v>78</v>
      </c>
      <c r="C15" s="17" t="s">
        <v>450</v>
      </c>
      <c r="D15" s="17" t="s">
        <v>53</v>
      </c>
      <c r="E15" s="20" t="s">
        <v>401</v>
      </c>
      <c r="F15" s="17" t="s">
        <v>445</v>
      </c>
      <c r="G15" s="17" t="s">
        <v>451</v>
      </c>
      <c r="H15" s="17" t="s">
        <v>452</v>
      </c>
      <c r="I15" s="17" t="s">
        <v>453</v>
      </c>
      <c r="J15" s="20" t="s">
        <v>331</v>
      </c>
      <c r="K15" s="22" t="inlineStr">
        <is>
          <t xml:space="preserve">Registration was accepted: "+639285551234" typed in the box was saved as +636392855512, so it was not recognised as the existing number.</t>
        </is>
      </c>
      <c r="L15" s="23" t="inlineStr">
        <is>
          <t xml:space="preserve">Fail</t>
        </is>
      </c>
      <c r="M15" s="22" t="inlineStr">
        <is>
          <t xml:space="preserve">Defect: a +63 number typed in the box is not normalised. In Loved-IT a logistics partner is a courier company: the contact person first creates a Loved-IT account at /register (name, email, mobile, password) and then applies at /register/courier; this field is on the account step, so the case was run there with the logistics test data. Screenshot: TC-LOG-014.jpg Recovered evidence from the prior recorded browser run; reviewed in this continuation, not rerun as a fresh account test.</t>
        </is>
      </c>
    </row>
    <row r="16" customFormat="false" ht="46.25" hidden="false" customHeight="false" outlineLevel="0" collapsed="false">
      <c r="A16" s="21" t="s">
        <v>454</v>
      </c>
      <c r="B16" s="17" t="s">
        <v>87</v>
      </c>
      <c r="C16" s="17" t="s">
        <v>455</v>
      </c>
      <c r="D16" s="17" t="s">
        <v>45</v>
      </c>
      <c r="E16" s="20" t="s">
        <v>380</v>
      </c>
      <c r="F16" s="17" t="s">
        <v>381</v>
      </c>
      <c r="G16" s="17" t="s">
        <v>456</v>
      </c>
      <c r="H16" s="17" t="s">
        <v>457</v>
      </c>
      <c r="I16" s="17" t="s">
        <v>458</v>
      </c>
      <c r="J16" s="20" t="s">
        <v>334</v>
      </c>
      <c r="K16" s="22" t="inlineStr">
        <is>
          <t xml:space="preserve">7 characters "Hati@26": rejected ("The password field must be at least 8 characters."); 8 characters "Hatid@26": accepted.</t>
        </is>
      </c>
      <c r="L16" s="23" t="inlineStr">
        <is>
          <t xml:space="preserve">Pass</t>
        </is>
      </c>
      <c r="M16" s="22" t="inlineStr">
        <is>
          <t xml:space="preserve">In Loved-IT a logistics partner is a courier company: the contact person first creates a Loved-IT account at /register (name, email, mobile, password) and then applies at /register/courier; this field is on the account step, so the case was run there with the logistics test data. Screenshot: TC-LOG-015.jpg Recovered evidence from the prior recorded browser run; reviewed in this continuation, not rerun as a fresh account test.</t>
        </is>
      </c>
    </row>
    <row r="17" customFormat="false" ht="46.25" hidden="false" customHeight="false" outlineLevel="0" collapsed="false">
      <c r="A17" s="21" t="s">
        <v>459</v>
      </c>
      <c r="B17" s="17" t="s">
        <v>87</v>
      </c>
      <c r="C17" s="17" t="s">
        <v>460</v>
      </c>
      <c r="D17" s="17" t="s">
        <v>47</v>
      </c>
      <c r="E17" s="20" t="s">
        <v>380</v>
      </c>
      <c r="F17" s="17" t="s">
        <v>389</v>
      </c>
      <c r="G17" s="17" t="s">
        <v>456</v>
      </c>
      <c r="H17" s="17" t="s">
        <v>461</v>
      </c>
      <c r="I17" s="17" t="s">
        <v>462</v>
      </c>
      <c r="J17" s="20" t="s">
        <v>334</v>
      </c>
      <c r="K17" s="22" t="inlineStr">
        <is>
          <t xml:space="preserve">No uppercase "hatid@2026": rejected ("The password field must contain at least one uppercase and one lowercase letter."); No lowercase "HATID@2026": rejected ("The password field must contain at least one uppercase and one lowercase letter."); No number "Hatid@abcd": rejected ("The password field must contain at least one number."); No special character "Hatid2026": rejected ("The password field must contain at least one symbol."). No account was created.</t>
        </is>
      </c>
      <c r="L17" s="23" t="inlineStr">
        <is>
          <t xml:space="preserve">Pass</t>
        </is>
      </c>
      <c r="M17" s="22" t="inlineStr">
        <is>
          <t xml:space="preserve">In Loved-IT a logistics partner is a courier company: the contact person first creates a Loved-IT account at /register (name, email, mobile, password) and then applies at /register/courier; this field is on the account step, so the case was run there with the logistics test data. Screenshot: TC-LOG-016.jpg Recovered evidence from the prior recorded browser run; reviewed in this continuation, not rerun as a fresh account test.</t>
        </is>
      </c>
    </row>
    <row r="18" customFormat="false" ht="46.25" hidden="false" customHeight="false" outlineLevel="0" collapsed="false">
      <c r="A18" s="21" t="s">
        <v>463</v>
      </c>
      <c r="B18" s="17" t="s">
        <v>87</v>
      </c>
      <c r="C18" s="17" t="s">
        <v>464</v>
      </c>
      <c r="D18" s="17" t="s">
        <v>43</v>
      </c>
      <c r="E18" s="20" t="s">
        <v>380</v>
      </c>
      <c r="F18" s="17" t="s">
        <v>389</v>
      </c>
      <c r="G18" s="17" t="s">
        <v>465</v>
      </c>
      <c r="H18" s="17" t="s">
        <v>466</v>
      </c>
      <c r="I18" s="17" t="s">
        <v>467</v>
      </c>
      <c r="J18" s="20" t="s">
        <v>334</v>
      </c>
      <c r="K18" s="22" t="inlineStr">
        <is>
          <t xml:space="preserve">Continue was blocked; Confirm Password showed "Passwords do not match.".</t>
        </is>
      </c>
      <c r="L18" s="23" t="inlineStr">
        <is>
          <t xml:space="preserve">Pass</t>
        </is>
      </c>
      <c r="M18" s="22" t="inlineStr">
        <is>
          <t xml:space="preserve">In Loved-IT a logistics partner is a courier company: the contact person first creates a Loved-IT account at /register (name, email, mobile, password) and then applies at /register/courier; this field is on the account step, so the case was run there with the logistics test data. Screenshot: TC-LOG-017.jpg Recovered evidence from the prior recorded browser run; reviewed in this continuation, not rerun as a fresh account test.</t>
        </is>
      </c>
    </row>
    <row r="19" customFormat="false" ht="23.85" hidden="false" customHeight="false" outlineLevel="0" collapsed="false">
      <c r="A19" s="21" t="s">
        <v>468</v>
      </c>
      <c r="B19" s="17" t="s">
        <v>87</v>
      </c>
      <c r="C19" s="17" t="s">
        <v>469</v>
      </c>
      <c r="D19" s="17" t="s">
        <v>53</v>
      </c>
      <c r="E19" s="20" t="s">
        <v>407</v>
      </c>
      <c r="F19" s="17" t="s">
        <v>389</v>
      </c>
      <c r="G19" s="17" t="s">
        <v>470</v>
      </c>
      <c r="H19" s="17" t="s">
        <v>471</v>
      </c>
      <c r="I19" s="17" t="s">
        <v>472</v>
      </c>
      <c r="J19" s="20" t="s">
        <v>334</v>
      </c>
      <c r="K19" s="22" t="inlineStr">
        <is>
          <t xml:space="preserve">The password is masked as dots while typing (field type "password"). There is no show/hide icon, so the second part of the step does not apply.</t>
        </is>
      </c>
      <c r="L19" s="23" t="inlineStr">
        <is>
          <t xml:space="preserve">Pass</t>
        </is>
      </c>
      <c r="M19" s="22" t="inlineStr">
        <is>
          <t xml:space="preserve">In Loved-IT a logistics partner is a courier company: the contact person first creates a Loved-IT account at /register (name, email, mobile, password) and then applies at /register/courier; this field is on the account step, so the case was run there with the logistics test data. Screenshot: TC-LOG-018.jpg Recovered evidence from the prior recorded browser run; reviewed in this continuation, not rerun as a fresh account test.</t>
        </is>
      </c>
    </row>
    <row r="20" customFormat="false" ht="46.25" hidden="false" customHeight="false" outlineLevel="0" collapsed="false">
      <c r="A20" s="21" t="s">
        <v>473</v>
      </c>
      <c r="B20" s="17" t="s">
        <v>93</v>
      </c>
      <c r="C20" s="17" t="s">
        <v>474</v>
      </c>
      <c r="D20" s="17" t="s">
        <v>43</v>
      </c>
      <c r="E20" s="20" t="s">
        <v>401</v>
      </c>
      <c r="F20" s="17" t="s">
        <v>389</v>
      </c>
      <c r="G20" s="17" t="s">
        <v>475</v>
      </c>
      <c r="H20" s="17" t="s">
        <v>476</v>
      </c>
      <c r="I20" s="17" t="s">
        <v>477</v>
      </c>
      <c r="J20" s="20" t="s">
        <v>322</v>
      </c>
      <c r="K20" s="22" t="inlineStr">
        <is>
          <t xml:space="preserve">Neither the account form nor the courier application has a Terms and Privacy Policy checkbox. Applications are submitted without accepting the terms (see TC-LOG-001).</t>
        </is>
      </c>
      <c r="L20" s="23" t="inlineStr">
        <is>
          <t xml:space="preserve">Fail</t>
        </is>
      </c>
      <c r="M20" s="22" t="inlineStr">
        <is>
          <t xml:space="preserve">Defect: no consent step for the Terms of Use and Privacy Policy. Screenshot: TC-LOG-019.jpg Recovered evidence from the prior recorded browser run; reviewed in this continuation, not rerun as a fresh account test.</t>
        </is>
      </c>
    </row>
    <row r="21" customFormat="false" ht="46.25" hidden="false" customHeight="false" outlineLevel="0" collapsed="false">
      <c r="A21" s="21" t="s">
        <v>478</v>
      </c>
      <c r="B21" s="17" t="s">
        <v>378</v>
      </c>
      <c r="C21" s="17" t="s">
        <v>479</v>
      </c>
      <c r="D21" s="17" t="s">
        <v>53</v>
      </c>
      <c r="E21" s="20" t="s">
        <v>401</v>
      </c>
      <c r="F21" s="17" t="s">
        <v>381</v>
      </c>
      <c r="G21" s="17" t="s">
        <v>480</v>
      </c>
      <c r="H21" s="17" t="s">
        <v>481</v>
      </c>
      <c r="I21" s="17" t="s">
        <v>482</v>
      </c>
      <c r="J21" s="20" t="s">
        <v>328</v>
      </c>
      <c r="K21" s="22" t="inlineStr">
        <is>
          <t xml:space="preserve">Submit Courier Application was clicked three times quickly (real mouse clicks 80 ms apart). Companies created: 1. No error appeared; one "Under review" page was shown.</t>
        </is>
      </c>
      <c r="L21" s="23" t="inlineStr">
        <is>
          <t xml:space="preserve">Fail</t>
        </is>
      </c>
      <c r="M21" s="22" t="inlineStr">
        <is>
          <t xml:space="preserve">Account 2 data (Liza Mae Fernandez, Agila Cargo Movers Corp., code ACM, Region XI &gt; Davao del Sur &gt; City of Davao &gt; Buhangin); the account itself was created beforehand. No OTP exists. Screenshot: TC-LOG-020.jpg Final review: duplicate creation was prevented, but the case also requires one OTP/activation email; that required mechanism is absent, so the complete expected result fails. Recovered evidence from the prior recorded browser run; reviewed in this continuation, not rerun as a fresh account test.</t>
        </is>
      </c>
    </row>
    <row r="22" customFormat="false" ht="46.25" hidden="false" customHeight="false" outlineLevel="0" collapsed="false">
      <c r="A22" s="21" t="s">
        <v>483</v>
      </c>
      <c r="B22" s="17" t="s">
        <v>484</v>
      </c>
      <c r="C22" s="17" t="s">
        <v>485</v>
      </c>
      <c r="D22" s="17" t="s">
        <v>43</v>
      </c>
      <c r="E22" s="20" t="s">
        <v>401</v>
      </c>
      <c r="F22" s="17" t="s">
        <v>421</v>
      </c>
      <c r="G22" s="17" t="s">
        <v>486</v>
      </c>
      <c r="H22" s="17" t="s">
        <v>487</v>
      </c>
      <c r="I22" s="17" t="s">
        <v>488</v>
      </c>
      <c r="J22" s="20" t="s">
        <v>361</v>
      </c>
      <c r="K22" s="22" t="inlineStr">
        <is>
          <t xml:space="preserve">Applying with the company name "Bilis Hatid Express Inc." from another account was blocked: Application could not be submitted
A courier company with this name already exists. / A courier company with this name already exists.</t>
        </is>
      </c>
      <c r="L22" s="23" t="inlineStr">
        <is>
          <t xml:space="preserve">Pass</t>
        </is>
      </c>
      <c r="M22" s="22" t="inlineStr">
        <is>
          <t xml:space="preserve">A different short code (BHX) was used so only the name is duplicated. Screenshot: TC-LOG-021.jpg Recovered evidence from the prior recorded browser run; reviewed in this continuation, not rerun as a fresh account test.</t>
        </is>
      </c>
    </row>
    <row r="23" customFormat="false" ht="46.25" hidden="false" customHeight="false" outlineLevel="0" collapsed="false">
      <c r="A23" s="21" t="s">
        <v>489</v>
      </c>
      <c r="B23" s="17" t="s">
        <v>484</v>
      </c>
      <c r="C23" s="17" t="s">
        <v>490</v>
      </c>
      <c r="D23" s="17" t="s">
        <v>43</v>
      </c>
      <c r="E23" s="20" t="s">
        <v>401</v>
      </c>
      <c r="F23" s="17" t="s">
        <v>389</v>
      </c>
      <c r="G23" s="17" t="s">
        <v>491</v>
      </c>
      <c r="H23" s="17" t="s">
        <v>492</v>
      </c>
      <c r="I23" s="17" t="s">
        <v>493</v>
      </c>
      <c r="J23" s="20" t="s">
        <v>361</v>
      </c>
      <c r="K23" s="22" t="inlineStr">
        <is>
          <t xml:space="preserve">Could not complete sec registration number in an invalid format: there is no SEC registration-number input, so the specified malformed/duplicate number cannot be submitted for validation.</t>
        </is>
      </c>
      <c r="L23" s="23" t="inlineStr">
        <is>
          <t xml:space="preserve">Blocked</t>
        </is>
      </c>
      <c r="M23" s="22" t="inlineStr">
        <is>
          <t xml:space="preserve">Blocked prerequisite: TC-LOG-001. The required setup/action was unavailable, so the dependent expected result was not verified. Based on the previous recorded browser evidence; not a fresh rerun.</t>
        </is>
      </c>
    </row>
    <row r="24" customFormat="false" ht="46.25" hidden="false" customHeight="false" outlineLevel="0" collapsed="false">
      <c r="A24" s="21" t="s">
        <v>494</v>
      </c>
      <c r="B24" s="17" t="s">
        <v>484</v>
      </c>
      <c r="C24" s="17" t="s">
        <v>495</v>
      </c>
      <c r="D24" s="17" t="s">
        <v>43</v>
      </c>
      <c r="E24" s="20" t="s">
        <v>401</v>
      </c>
      <c r="F24" s="17" t="s">
        <v>421</v>
      </c>
      <c r="G24" s="17" t="s">
        <v>496</v>
      </c>
      <c r="H24" s="17" t="s">
        <v>497</v>
      </c>
      <c r="I24" s="17" t="s">
        <v>498</v>
      </c>
      <c r="J24" s="20" t="s">
        <v>361</v>
      </c>
      <c r="K24" s="22" t="inlineStr">
        <is>
          <t xml:space="preserve">Could not complete sec registration number already registered: there is no SEC registration-number input, so the specified malformed/duplicate number cannot be submitted for validation.</t>
        </is>
      </c>
      <c r="L24" s="23" t="inlineStr">
        <is>
          <t xml:space="preserve">Blocked</t>
        </is>
      </c>
      <c r="M24" s="22" t="inlineStr">
        <is>
          <t xml:space="preserve">Blocked prerequisite: TC-LOG-001. The required setup/action was unavailable, so the dependent expected result was not verified. Based on the previous recorded browser evidence; not a fresh rerun.</t>
        </is>
      </c>
    </row>
    <row r="25" customFormat="false" ht="46.25" hidden="false" customHeight="false" outlineLevel="0" collapsed="false">
      <c r="A25" s="21" t="s">
        <v>499</v>
      </c>
      <c r="B25" s="17" t="s">
        <v>484</v>
      </c>
      <c r="C25" s="17" t="s">
        <v>500</v>
      </c>
      <c r="D25" s="17" t="s">
        <v>43</v>
      </c>
      <c r="E25" s="20" t="s">
        <v>407</v>
      </c>
      <c r="F25" s="17" t="s">
        <v>381</v>
      </c>
      <c r="G25" s="17" t="s">
        <v>501</v>
      </c>
      <c r="H25" s="17" t="s">
        <v>502</v>
      </c>
      <c r="I25" s="17" t="s">
        <v>503</v>
      </c>
      <c r="J25" s="20" t="s">
        <v>322</v>
      </c>
      <c r="K25" s="22" t="inlineStr">
        <is>
          <t xml:space="preserve">Could not complete select more than one service area: the courier registration form has no Service Areas multi-select, so the specified three selected regions cannot be submitted.</t>
        </is>
      </c>
      <c r="L25" s="23" t="inlineStr">
        <is>
          <t xml:space="preserve">Blocked</t>
        </is>
      </c>
      <c r="M25" s="22" t="inlineStr">
        <is>
          <t xml:space="preserve">Blocked prerequisite: TC-LOG-001. The required setup/action was unavailable, so the dependent expected result was not verified. Based on the previous recorded browser evidence; not a fresh rerun.</t>
        </is>
      </c>
    </row>
    <row r="26" customFormat="false" ht="46.25" hidden="false" customHeight="false" outlineLevel="0" collapsed="false">
      <c r="A26" s="21" t="s">
        <v>504</v>
      </c>
      <c r="B26" s="17" t="s">
        <v>505</v>
      </c>
      <c r="C26" s="17" t="s">
        <v>506</v>
      </c>
      <c r="D26" s="17" t="s">
        <v>45</v>
      </c>
      <c r="E26" s="20" t="s">
        <v>380</v>
      </c>
      <c r="F26" s="17" t="s">
        <v>389</v>
      </c>
      <c r="G26" s="17" t="s">
        <v>507</v>
      </c>
      <c r="H26" s="17" t="s">
        <v>508</v>
      </c>
      <c r="I26" s="17" t="s">
        <v>509</v>
      </c>
      <c r="J26" s="20" t="s">
        <v>343</v>
      </c>
      <c r="K26" s="22" t="inlineStr">
        <is>
          <t xml:space="preserve">Could not complete tin in an invalid format or length: the registration form has no TIN input. The specified format/duplicate values could not be entered and no TIN validation outcome was observed.</t>
        </is>
      </c>
      <c r="L26" s="23" t="inlineStr">
        <is>
          <t xml:space="preserve">Blocked</t>
        </is>
      </c>
      <c r="M26" s="22" t="inlineStr">
        <is>
          <t xml:space="preserve">Blocked prerequisite: TC-LOG-001. The required setup/action was unavailable, so the dependent expected result was not verified. Based on the previous recorded browser evidence; not a fresh rerun.</t>
        </is>
      </c>
    </row>
    <row r="27" customFormat="false" ht="35.05" hidden="false" customHeight="false" outlineLevel="0" collapsed="false">
      <c r="A27" s="21" t="s">
        <v>510</v>
      </c>
      <c r="B27" s="17" t="s">
        <v>505</v>
      </c>
      <c r="C27" s="17" t="s">
        <v>511</v>
      </c>
      <c r="D27" s="17" t="s">
        <v>43</v>
      </c>
      <c r="E27" s="20" t="s">
        <v>401</v>
      </c>
      <c r="F27" s="17" t="s">
        <v>512</v>
      </c>
      <c r="G27" s="17" t="s">
        <v>513</v>
      </c>
      <c r="H27" s="17" t="s">
        <v>514</v>
      </c>
      <c r="I27" s="17" t="s">
        <v>515</v>
      </c>
      <c r="J27" s="20" t="s">
        <v>343</v>
      </c>
      <c r="K27" s="22" t="inlineStr">
        <is>
          <t xml:space="preserve">Could not complete tin that is already registered: the registration form has no TIN input. The specified format/duplicate values could not be entered and no TIN validation outcome was observed.</t>
        </is>
      </c>
      <c r="L27" s="23" t="inlineStr">
        <is>
          <t xml:space="preserve">Blocked</t>
        </is>
      </c>
      <c r="M27" s="22" t="inlineStr">
        <is>
          <t xml:space="preserve">Blocked prerequisite: TC-LOG-001. The required setup/action was unavailable, so the dependent expected result was not verified. Based on the previous recorded browser evidence; not a fresh rerun.</t>
        </is>
      </c>
    </row>
    <row r="28" customFormat="false" ht="46.25" hidden="false" customHeight="false" outlineLevel="0" collapsed="false">
      <c r="A28" s="21" t="s">
        <v>516</v>
      </c>
      <c r="B28" s="17" t="s">
        <v>517</v>
      </c>
      <c r="C28" s="17" t="s">
        <v>518</v>
      </c>
      <c r="D28" s="17" t="s">
        <v>53</v>
      </c>
      <c r="E28" s="20" t="s">
        <v>401</v>
      </c>
      <c r="F28" s="17" t="s">
        <v>389</v>
      </c>
      <c r="G28" s="17" t="s">
        <v>519</v>
      </c>
      <c r="H28" s="17" t="s">
        <v>520</v>
      </c>
      <c r="I28" s="17" t="s">
        <v>521</v>
      </c>
      <c r="J28" s="20" t="s">
        <v>340</v>
      </c>
      <c r="K28" s="22" t="inlineStr">
        <is>
          <t xml:space="preserve">Selected: Metro Manila (NCR) &gt; City of Pasig &gt; Kapitolyo. After changing the Region to Region VII (Central Visayas): Province "Select province", City "Select province first", Barangay "Select city/municipality first". The Province list then showed: Bohol, Cebu, Negros Oriental, Siquijor. Pasig and Kapitolyo were no longer offered.</t>
        </is>
      </c>
      <c r="L28" s="23" t="inlineStr">
        <is>
          <t xml:space="preserve">Pass</t>
        </is>
      </c>
      <c r="M28" s="22" t="inlineStr">
        <is>
          <t xml:space="preserve">Screenshot: TC-LOG-027.jpg Recovered evidence from the prior recorded browser run; reviewed in this continuation, not rerun as a fresh account test.</t>
        </is>
      </c>
    </row>
    <row r="29" customFormat="false" ht="46.25" hidden="false" customHeight="false" outlineLevel="0" collapsed="false">
      <c r="A29" s="21" t="s">
        <v>522</v>
      </c>
      <c r="B29" s="17" t="s">
        <v>517</v>
      </c>
      <c r="C29" s="17" t="s">
        <v>523</v>
      </c>
      <c r="D29" s="17" t="s">
        <v>45</v>
      </c>
      <c r="E29" s="20" t="s">
        <v>401</v>
      </c>
      <c r="F29" s="17" t="s">
        <v>389</v>
      </c>
      <c r="G29" s="17" t="s">
        <v>524</v>
      </c>
      <c r="H29" s="17" t="s">
        <v>525</v>
      </c>
      <c r="I29" s="17" t="s">
        <v>526</v>
      </c>
      <c r="J29" s="20" t="s">
        <v>340</v>
      </c>
      <c r="K29" s="22" t="inlineStr">
        <is>
          <t xml:space="preserve">Could not complete postal code length and format: there is no postal-code input, so the specified length/format values cannot be entered for validation.</t>
        </is>
      </c>
      <c r="L29" s="23" t="inlineStr">
        <is>
          <t xml:space="preserve">Blocked</t>
        </is>
      </c>
      <c r="M29" s="22" t="inlineStr">
        <is>
          <t xml:space="preserve">Blocked prerequisite: TC-LOG-001. The required setup/action was unavailable, so the dependent expected result was not verified. Based on the previous recorded browser evidence; not a fresh rerun.</t>
        </is>
      </c>
    </row>
    <row r="30" customFormat="false" ht="68.65" hidden="false" customHeight="false" outlineLevel="0" collapsed="false">
      <c r="A30" s="21" t="s">
        <v>527</v>
      </c>
      <c r="B30" s="17" t="s">
        <v>528</v>
      </c>
      <c r="C30" s="17" t="s">
        <v>529</v>
      </c>
      <c r="D30" s="17" t="s">
        <v>43</v>
      </c>
      <c r="E30" s="20" t="s">
        <v>380</v>
      </c>
      <c r="F30" s="17" t="s">
        <v>381</v>
      </c>
      <c r="G30" s="17" t="s">
        <v>530</v>
      </c>
      <c r="H30" s="17" t="s">
        <v>531</v>
      </c>
      <c r="I30" s="17" t="s">
        <v>532</v>
      </c>
      <c r="J30" s="20" t="s">
        <v>349</v>
      </c>
      <c r="K30" s="22" t="inlineStr">
        <is>
          <t xml:space="preserve">sec_certificate.pdf: accepted (1024 KB · PDF Document); bir_2303.pdf: accepted (1126 KB · PDF Document); mayors_permit.pdf: accepted (1331 KB · PDF Document); govt_id_front.jpg: accepted (image preview shown); govt_id_front.png: accepted (image preview shown). With the last file attached the application was not submitted.</t>
        </is>
      </c>
      <c r="L30" s="23" t="inlineStr">
        <is>
          <t xml:space="preserve">Fail</t>
        </is>
      </c>
      <c r="M30" s="22" t="inlineStr">
        <is>
          <t xml:space="preserve">Cause: the server's PHP settings allow only 2 MB per file (upload_max_filesize) and 8 MB per form (post_max_size), although the app says 5 MB, so any file between 2 MB and 5 MB fails to upload. The live server uses the same PHP settings. The form has one upload, "DTI / SEC registration or Mayor's Permit", so the five files were tried in it one after another. The next step in this system is admin review, not email verification. Screenshot: TC-LOG-029.jpg Recovered evidence from the prior recorded browser run; reviewed in this continuation, not rerun as a fresh account test.</t>
        </is>
      </c>
    </row>
    <row r="31" customFormat="false" ht="46.25" hidden="false" customHeight="false" outlineLevel="0" collapsed="false">
      <c r="A31" s="21" t="s">
        <v>533</v>
      </c>
      <c r="B31" s="17" t="s">
        <v>528</v>
      </c>
      <c r="C31" s="17" t="s">
        <v>534</v>
      </c>
      <c r="D31" s="17" t="s">
        <v>43</v>
      </c>
      <c r="E31" s="20" t="s">
        <v>380</v>
      </c>
      <c r="F31" s="17" t="s">
        <v>389</v>
      </c>
      <c r="G31" s="17" t="s">
        <v>535</v>
      </c>
      <c r="H31" s="17" t="s">
        <v>536</v>
      </c>
      <c r="I31" s="17" t="s">
        <v>537</v>
      </c>
      <c r="J31" s="20" t="s">
        <v>349</v>
      </c>
      <c r="K31" s="22" t="inlineStr">
        <is>
          <t xml:space="preserve">price_list.docx: rejected ("Only JPG, PNG, and PDF files are allowed."); store_banner.gif: rejected ("Only JPG, PNG, and PDF files are allowed."); installer.exe: rejected ("Only JPG, PNG, and PDF files are allowed."). Submitting afterwards was blocked (Upload your DTI, SEC or Mayor's Permit.); no application was created.</t>
        </is>
      </c>
      <c r="L31" s="23" t="inlineStr">
        <is>
          <t xml:space="preserve">Pass</t>
        </is>
      </c>
      <c r="M31" s="22" t="inlineStr">
        <is>
          <t xml:space="preserve">Each file was attached directly to the upload field (the picker only lists accepted types). Screenshot: TC-LOG-030.jpg Recovered evidence from the prior recorded browser run; reviewed in this continuation, not rerun as a fresh account test.</t>
        </is>
      </c>
    </row>
    <row r="32" customFormat="false" ht="46.25" hidden="false" customHeight="false" outlineLevel="0" collapsed="false">
      <c r="A32" s="21" t="s">
        <v>538</v>
      </c>
      <c r="B32" s="17" t="s">
        <v>528</v>
      </c>
      <c r="C32" s="17" t="s">
        <v>539</v>
      </c>
      <c r="D32" s="17" t="s">
        <v>45</v>
      </c>
      <c r="E32" s="20" t="s">
        <v>380</v>
      </c>
      <c r="F32" s="17" t="s">
        <v>381</v>
      </c>
      <c r="G32" s="17" t="s">
        <v>540</v>
      </c>
      <c r="H32" s="17" t="s">
        <v>541</v>
      </c>
      <c r="I32" s="17" t="s">
        <v>542</v>
      </c>
      <c r="J32" s="20" t="s">
        <v>349</v>
      </c>
      <c r="K32" s="22" t="inlineStr">
        <is>
          <t xml:space="preserve">size_4.9MB.jpg: rejected ("Application could not be submitted
The business permit failed to upload. / The business permit failed to upload."); size_5.0MB.jpg: rejected ("Application could not be submitted
The business permit failed to upload. / The business permit failed to upload."); size_5.1MB.jpg: rejected ("File size exceeds the 5MB limit.").</t>
        </is>
      </c>
      <c r="L32" s="23" t="inlineStr">
        <is>
          <t xml:space="preserve">Fail</t>
        </is>
      </c>
      <c r="M32" s="22" t="inlineStr">
        <is>
          <t xml:space="preserve">Cause: the server's PHP settings allow only 2 MB per file (upload_max_filesize) and 8 MB per form (post_max_size), although the app says 5 MB, so any file between 2 MB and 5 MB fails to upload. The live server uses the same PHP settings. Uploaded to the business permit field; each accepted file used a separate account. Screenshot: TC-LOG-031.jpg Recovered evidence from the prior recorded browser run; reviewed in this continuation, not rerun as a fresh account test.</t>
        </is>
      </c>
    </row>
    <row r="33" customFormat="false" ht="68.65" hidden="false" customHeight="false" outlineLevel="0" collapsed="false">
      <c r="A33" s="21" t="s">
        <v>543</v>
      </c>
      <c r="B33" s="17" t="s">
        <v>544</v>
      </c>
      <c r="C33" s="17" t="s">
        <v>545</v>
      </c>
      <c r="D33" s="17" t="s">
        <v>49</v>
      </c>
      <c r="E33" s="20" t="s">
        <v>380</v>
      </c>
      <c r="F33" s="17" t="s">
        <v>546</v>
      </c>
      <c r="G33" s="17" t="s">
        <v>547</v>
      </c>
      <c r="H33" s="17" t="s">
        <v>548</v>
      </c>
      <c r="I33" s="17" t="s">
        <v>549</v>
      </c>
      <c r="J33" s="20" t="s">
        <v>550</v>
      </c>
      <c r="K33" s="22" t="inlineStr">
        <is>
          <t xml:space="preserve">Could not complete verify with the correct otp: the required verification page and issued email OTP do not exist. A welcome email/admin review cannot supply the code needed for this test.</t>
        </is>
      </c>
      <c r="L33" s="23" t="inlineStr">
        <is>
          <t xml:space="preserve">Blocked</t>
        </is>
      </c>
      <c r="M33" s="22" t="inlineStr">
        <is>
          <t xml:space="preserve">Blocked prerequisite: TC-LOG-001. The required setup/action was unavailable, so the dependent expected result was not verified. Based on the previous recorded browser evidence; not a fresh rerun.</t>
        </is>
      </c>
    </row>
    <row r="34" customFormat="false" ht="68.65" hidden="false" customHeight="false" outlineLevel="0" collapsed="false">
      <c r="A34" s="21" t="s">
        <v>551</v>
      </c>
      <c r="B34" s="17" t="s">
        <v>544</v>
      </c>
      <c r="C34" s="17" t="s">
        <v>552</v>
      </c>
      <c r="D34" s="17" t="s">
        <v>43</v>
      </c>
      <c r="E34" s="20" t="s">
        <v>380</v>
      </c>
      <c r="F34" s="17" t="s">
        <v>546</v>
      </c>
      <c r="G34" s="17" t="s">
        <v>553</v>
      </c>
      <c r="H34" s="17" t="s">
        <v>554</v>
      </c>
      <c r="I34" s="17" t="s">
        <v>555</v>
      </c>
      <c r="J34" s="20" t="s">
        <v>346</v>
      </c>
      <c r="K34" s="22" t="inlineStr">
        <is>
          <t xml:space="preserve">Could not complete verify with an incorrect otp: the required verification page and issued email OTP do not exist. A welcome email/admin review cannot supply the code needed for this test.</t>
        </is>
      </c>
      <c r="L34" s="23" t="inlineStr">
        <is>
          <t xml:space="preserve">Blocked</t>
        </is>
      </c>
      <c r="M34" s="22" t="inlineStr">
        <is>
          <t xml:space="preserve">Blocked prerequisite: TC-LOG-001. The required setup/action was unavailable, so the dependent expected result was not verified. Based on the previous recorded browser evidence; not a fresh rerun.</t>
        </is>
      </c>
    </row>
    <row r="35" customFormat="false" ht="68.65" hidden="false" customHeight="false" outlineLevel="0" collapsed="false">
      <c r="A35" s="21" t="s">
        <v>556</v>
      </c>
      <c r="B35" s="17" t="s">
        <v>544</v>
      </c>
      <c r="C35" s="17" t="s">
        <v>557</v>
      </c>
      <c r="D35" s="17" t="s">
        <v>43</v>
      </c>
      <c r="E35" s="20" t="s">
        <v>401</v>
      </c>
      <c r="F35" s="17" t="s">
        <v>546</v>
      </c>
      <c r="G35" s="17" t="s">
        <v>558</v>
      </c>
      <c r="H35" s="17" t="s">
        <v>559</v>
      </c>
      <c r="I35" s="17" t="s">
        <v>560</v>
      </c>
      <c r="J35" s="20" t="s">
        <v>346</v>
      </c>
      <c r="K35" s="22" t="inlineStr">
        <is>
          <t xml:space="preserve">Could not complete otp in the wrong format: the required verification page and issued email OTP do not exist. A welcome email/admin review cannot supply the code needed for this test.</t>
        </is>
      </c>
      <c r="L35" s="23" t="inlineStr">
        <is>
          <t xml:space="preserve">Blocked</t>
        </is>
      </c>
      <c r="M35" s="22" t="inlineStr">
        <is>
          <t xml:space="preserve">Blocked prerequisite: TC-LOG-001. The required setup/action was unavailable, so the dependent expected result was not verified. Based on the previous recorded browser evidence; not a fresh rerun.</t>
        </is>
      </c>
    </row>
    <row r="36" customFormat="false" ht="68.65" hidden="false" customHeight="false" outlineLevel="0" collapsed="false">
      <c r="A36" s="21" t="s">
        <v>561</v>
      </c>
      <c r="B36" s="17" t="s">
        <v>544</v>
      </c>
      <c r="C36" s="17" t="s">
        <v>562</v>
      </c>
      <c r="D36" s="17" t="s">
        <v>45</v>
      </c>
      <c r="E36" s="20" t="s">
        <v>380</v>
      </c>
      <c r="F36" s="17" t="s">
        <v>546</v>
      </c>
      <c r="G36" s="17" t="s">
        <v>563</v>
      </c>
      <c r="H36" s="17" t="s">
        <v>564</v>
      </c>
      <c r="I36" s="17" t="s">
        <v>565</v>
      </c>
      <c r="J36" s="20" t="s">
        <v>346</v>
      </c>
      <c r="K36" s="22" t="inlineStr">
        <is>
          <t xml:space="preserve">Could not complete verify with an expired otp: the required verification page and issued email OTP do not exist. A welcome email/admin review cannot supply the code needed for this test.</t>
        </is>
      </c>
      <c r="L36" s="23" t="inlineStr">
        <is>
          <t xml:space="preserve">Blocked</t>
        </is>
      </c>
      <c r="M36" s="22" t="inlineStr">
        <is>
          <t xml:space="preserve">Blocked prerequisite: TC-LOG-001. The required setup/action was unavailable, so the dependent expected result was not verified. Based on the previous recorded browser evidence; not a fresh rerun.</t>
        </is>
      </c>
    </row>
    <row r="37" customFormat="false" ht="68.65" hidden="false" customHeight="false" outlineLevel="0" collapsed="false">
      <c r="A37" s="21" t="s">
        <v>566</v>
      </c>
      <c r="B37" s="17" t="s">
        <v>544</v>
      </c>
      <c r="C37" s="17" t="s">
        <v>567</v>
      </c>
      <c r="D37" s="17" t="s">
        <v>49</v>
      </c>
      <c r="E37" s="20" t="s">
        <v>401</v>
      </c>
      <c r="F37" s="17" t="s">
        <v>546</v>
      </c>
      <c r="G37" s="17" t="s">
        <v>568</v>
      </c>
      <c r="H37" s="17" t="s">
        <v>569</v>
      </c>
      <c r="I37" s="17" t="s">
        <v>570</v>
      </c>
      <c r="J37" s="20" t="s">
        <v>346</v>
      </c>
      <c r="K37" s="22" t="inlineStr">
        <is>
          <t xml:space="preserve">Could not complete resend otp: the required verification page and issued email OTP do not exist. A welcome email/admin review cannot supply the code needed for this test.</t>
        </is>
      </c>
      <c r="L37" s="23" t="inlineStr">
        <is>
          <t xml:space="preserve">Blocked</t>
        </is>
      </c>
      <c r="M37" s="22" t="inlineStr">
        <is>
          <t xml:space="preserve">Blocked prerequisite: TC-LOG-001. The required setup/action was unavailable, so the dependent expected result was not verified. Based on the previous recorded browser evidence; not a fresh rerun.</t>
        </is>
      </c>
    </row>
    <row r="38" customFormat="false" ht="35.05" hidden="false" customHeight="false" outlineLevel="0" collapsed="false">
      <c r="A38" s="21" t="s">
        <v>571</v>
      </c>
      <c r="B38" s="17" t="s">
        <v>544</v>
      </c>
      <c r="C38" s="17" t="s">
        <v>572</v>
      </c>
      <c r="D38" s="17" t="s">
        <v>49</v>
      </c>
      <c r="E38" s="20" t="s">
        <v>380</v>
      </c>
      <c r="F38" s="17" t="s">
        <v>573</v>
      </c>
      <c r="G38" s="17" t="s">
        <v>574</v>
      </c>
      <c r="H38" s="17" t="s">
        <v>575</v>
      </c>
      <c r="I38" s="17" t="s">
        <v>576</v>
      </c>
      <c r="J38" s="20" t="s">
        <v>550</v>
      </c>
      <c r="K38" s="22" t="inlineStr">
        <is>
          <t xml:space="preserve">Signing in with the account whose courier application is still pending succeeded and opened /. No verification page or verify-your-email message was shown.</t>
        </is>
      </c>
      <c r="L38" s="23" t="inlineStr">
        <is>
          <t xml:space="preserve">Fail</t>
        </is>
      </c>
      <c r="M38" s="22" t="inlineStr">
        <is>
          <t xml:space="preserve">Design difference (A9, A12): there is no unverified state; applicants keep a normal account and can sign in. Screenshot: TC-LOG-037.jpg Recovered evidence from the prior recorded browser run; reviewed in this continuation, not rerun as a fresh account test.</t>
        </is>
      </c>
    </row>
    <row r="39" customFormat="false" ht="35.05" hidden="false" customHeight="false" outlineLevel="0" collapsed="false">
      <c r="A39" s="21" t="s">
        <v>577</v>
      </c>
      <c r="B39" s="17" t="s">
        <v>578</v>
      </c>
      <c r="C39" s="17" t="s">
        <v>579</v>
      </c>
      <c r="D39" s="17" t="s">
        <v>49</v>
      </c>
      <c r="E39" s="20" t="s">
        <v>380</v>
      </c>
      <c r="F39" s="17" t="s">
        <v>580</v>
      </c>
      <c r="G39" s="17" t="s">
        <v>581</v>
      </c>
      <c r="H39" s="17" t="s">
        <v>575</v>
      </c>
      <c r="I39" s="17" t="s">
        <v>582</v>
      </c>
      <c r="J39" s="20" t="s">
        <v>355</v>
      </c>
      <c r="K39" s="22" t="inlineStr">
        <is>
          <t xml:space="preserve">Opening /logistics redirected to /register/courier, which shows "Under review – We're reviewing Bilis Hatid Express Inc." with the steps Permit and company check and Decision via email. /logistics/riders redirected to /register/courier. The courier portal API answered 403.</t>
        </is>
      </c>
      <c r="L39" s="23" t="inlineStr">
        <is>
          <t xml:space="preserve">Pass</t>
        </is>
      </c>
      <c r="M39" s="22" t="inlineStr">
        <is>
          <t xml:space="preserve">The pending company cannot open its portal, so it cannot manage hubs or riders or take parcels. Screenshot: TC-LOG-038.jpg Recovered evidence from the prior recorded browser run; reviewed in this continuation, not rerun as a fresh account test.</t>
        </is>
      </c>
    </row>
    <row r="40" customFormat="false" ht="46.25" hidden="false" customHeight="false" outlineLevel="0" collapsed="false">
      <c r="A40" s="21" t="s">
        <v>583</v>
      </c>
      <c r="B40" s="17" t="s">
        <v>578</v>
      </c>
      <c r="C40" s="17" t="s">
        <v>584</v>
      </c>
      <c r="D40" s="17" t="s">
        <v>51</v>
      </c>
      <c r="E40" s="20" t="s">
        <v>380</v>
      </c>
      <c r="F40" s="17" t="s">
        <v>585</v>
      </c>
      <c r="G40" s="17" t="s">
        <v>586</v>
      </c>
      <c r="H40" s="17" t="s">
        <v>587</v>
      </c>
      <c r="I40" s="17" t="s">
        <v>588</v>
      </c>
      <c r="J40" s="20" t="s">
        <v>355</v>
      </c>
      <c r="K40" s="22" t="inlineStr">
        <is>
          <t xml:space="preserve">"Bilis Hatid Express Inc." is listed as Pending in Admin &gt; Courier Applications. The detail panel shows Bilis Hatid Express Inc., BHE, Pasig, Kapitolyo, 09285551234, Carlos (6/6 test values). The business permit opens (application/pdf).</t>
        </is>
      </c>
      <c r="L40" s="23" t="inlineStr">
        <is>
          <t xml:space="preserve">Fail</t>
        </is>
      </c>
      <c r="M40" s="22" t="inlineStr">
        <is>
          <t xml:space="preserve">Only the details the system collects can be compared (no SEC number, TIN, postal code, position or service areas). Screenshot: TC-LOG-039.jpg Final review: the case requires all application details to match; some required details are missing from the system/admin view. Recovered evidence from the prior recorded browser run; reviewed in this continuation, not rerun as a fresh account test.</t>
        </is>
      </c>
    </row>
    <row r="41" customFormat="false" ht="35.05" hidden="false" customHeight="false" outlineLevel="0" collapsed="false">
      <c r="A41" s="21" t="s">
        <v>589</v>
      </c>
      <c r="B41" s="17" t="s">
        <v>578</v>
      </c>
      <c r="C41" s="17" t="s">
        <v>590</v>
      </c>
      <c r="D41" s="17" t="s">
        <v>49</v>
      </c>
      <c r="E41" s="20" t="s">
        <v>380</v>
      </c>
      <c r="F41" s="17" t="s">
        <v>591</v>
      </c>
      <c r="G41" s="17" t="s">
        <v>592</v>
      </c>
      <c r="H41" s="17" t="s">
        <v>593</v>
      </c>
      <c r="I41" s="17" t="s">
        <v>594</v>
      </c>
      <c r="J41" s="20" t="s">
        <v>355</v>
      </c>
      <c r="K41" s="22" t="inlineStr">
        <is>
          <t xml:space="preserve">After Approve company the status changed to Approved. Emails to the company owner: Welcome to Loved-IT!; We received your courier company application; Bilis Hatid Express Inc. is approved on Loved-IT. On login, /logistics opened the courier portal (Network Overview).</t>
        </is>
      </c>
      <c r="L41" s="23" t="inlineStr">
        <is>
          <t xml:space="preserve">Pass</t>
        </is>
      </c>
      <c r="M41" s="22" t="inlineStr">
        <is>
          <t xml:space="preserve">Screenshots: TC-LOG-040-admin.jpg, TC-LOG-040-portal.jpg Recovered evidence from the prior recorded browser run; reviewed in this continuation, not rerun as a fresh account test.</t>
        </is>
      </c>
    </row>
    <row r="42" customFormat="false" ht="35.05" hidden="false" customHeight="false" outlineLevel="0" collapsed="false">
      <c r="A42" s="21" t="s">
        <v>595</v>
      </c>
      <c r="B42" s="17" t="s">
        <v>578</v>
      </c>
      <c r="C42" s="17" t="s">
        <v>596</v>
      </c>
      <c r="D42" s="17" t="s">
        <v>49</v>
      </c>
      <c r="E42" s="20" t="s">
        <v>380</v>
      </c>
      <c r="F42" s="17" t="s">
        <v>597</v>
      </c>
      <c r="G42" s="17" t="s">
        <v>598</v>
      </c>
      <c r="H42" s="17" t="s">
        <v>599</v>
      </c>
      <c r="I42" s="17" t="s">
        <v>600</v>
      </c>
      <c r="J42" s="20" t="s">
        <v>355</v>
      </c>
      <c r="K42" s="22" t="inlineStr">
        <is>
          <t xml:space="preserve">The admin rejected Agila Cargo Movers Corp. with the reason "Mayor's permit expired on 12/31/2025.". Status: Rejected. Emails to the owner: Welcome to Loved-IT!; We received your courier company application; Update on your courier company application (the rejection email contains the reason). On login, /logistics redirected to /register/courier, which shows the rejection and the reason; the courier portal is not available.</t>
        </is>
      </c>
      <c r="L42" s="23" t="inlineStr">
        <is>
          <t xml:space="preserve">Pass</t>
        </is>
      </c>
      <c r="M42" s="22" t="inlineStr">
        <is>
          <t xml:space="preserve">Screenshots: TC-LOG-041-admin.jpg, TC-LOG-041-owner.jpg Recovered evidence from the prior recorded browser run; reviewed in this continuation, not rerun as a fresh account test.</t>
        </is>
      </c>
    </row>
    <row r="43" customFormat="false" ht="35.05" hidden="false" customHeight="false" outlineLevel="0" collapsed="false">
      <c r="A43" s="21" t="s">
        <v>601</v>
      </c>
      <c r="B43" s="17" t="s">
        <v>578</v>
      </c>
      <c r="C43" s="17" t="s">
        <v>602</v>
      </c>
      <c r="D43" s="17" t="s">
        <v>49</v>
      </c>
      <c r="E43" s="20" t="s">
        <v>401</v>
      </c>
      <c r="F43" s="17" t="s">
        <v>603</v>
      </c>
      <c r="G43" s="17" t="s">
        <v>604</v>
      </c>
      <c r="H43" s="17" t="s">
        <v>605</v>
      </c>
      <c r="I43" s="17" t="s">
        <v>606</v>
      </c>
      <c r="J43" s="20" t="s">
        <v>355</v>
      </c>
      <c r="K43" s="22" t="inlineStr">
        <is>
          <t xml:space="preserve">On the rejected screen the owner clicked "Apply again", which reopened the form (the form opened empty and was filled again). With mayors_permit_2026.pdf as the permit the application was submitted and shows "Under review" again. It appears again in the admin's pending list.</t>
        </is>
      </c>
      <c r="L43" s="23" t="inlineStr">
        <is>
          <t xml:space="preserve">Pass</t>
        </is>
      </c>
      <c r="M43" s="22" t="inlineStr">
        <is>
          <t xml:space="preserve">Screenshot: TC-LOG-042.jpg Recovered evidence from the prior recorded browser run; reviewed in this continuation, not rerun as a fresh account test.</t>
        </is>
      </c>
    </row>
    <row r="44" customFormat="false" ht="35.05" hidden="false" customHeight="false" outlineLevel="0" collapsed="false">
      <c r="A44" s="21" t="s">
        <v>607</v>
      </c>
      <c r="B44" s="17" t="s">
        <v>608</v>
      </c>
      <c r="C44" s="17" t="s">
        <v>609</v>
      </c>
      <c r="D44" s="17" t="s">
        <v>53</v>
      </c>
      <c r="E44" s="20" t="s">
        <v>380</v>
      </c>
      <c r="F44" s="17" t="s">
        <v>610</v>
      </c>
      <c r="G44" s="17" t="s">
        <v>611</v>
      </c>
      <c r="H44" s="17" t="s">
        <v>612</v>
      </c>
      <c r="I44" s="17" t="s">
        <v>613</v>
      </c>
      <c r="J44" s="20" t="s">
        <v>367</v>
      </c>
      <c r="K44" s="22" t="inlineStr">
        <is>
          <t xml:space="preserve">As the buyer juanmiguel.delacruz@gmail.com, opening /admin/courier-applications redirected to /; no application data was shown. Direct API calls were refused: list 403, approve 403.</t>
        </is>
      </c>
      <c r="L44" s="23" t="inlineStr">
        <is>
          <t xml:space="preserve">Pass</t>
        </is>
      </c>
      <c r="M44" s="22" t="inlineStr">
        <is>
          <t xml:space="preserve">Screenshot: TC-LOG-043.jpg Recovered evidence from the prior recorded browser run; reviewed in this continuation, not rerun as a fresh account test.</t>
        </is>
      </c>
    </row>
    <row r="45" customFormat="false" ht="35.05" hidden="false" customHeight="false" outlineLevel="0" collapsed="false">
      <c r="A45" s="21" t="s">
        <v>614</v>
      </c>
      <c r="B45" s="17" t="s">
        <v>608</v>
      </c>
      <c r="C45" s="17" t="s">
        <v>615</v>
      </c>
      <c r="D45" s="17" t="s">
        <v>53</v>
      </c>
      <c r="E45" s="20" t="s">
        <v>401</v>
      </c>
      <c r="F45" s="17" t="s">
        <v>616</v>
      </c>
      <c r="G45" s="17" t="s">
        <v>617</v>
      </c>
      <c r="H45" s="17" t="s">
        <v>618</v>
      </c>
      <c r="I45" s="17" t="s">
        <v>619</v>
      </c>
      <c r="J45" s="20" t="s">
        <v>367</v>
      </c>
      <c r="K45" s="22" t="inlineStr">
        <is>
          <t xml:space="preserve">Admin dashboard (/admin): redirected to /; Seller dashboard (/seller): redirected to /register/seller; Rider dashboard (/rider/dashboard): redirected to /register/rider. API: admin 404, seller 404. No data from another role was shown.</t>
        </is>
      </c>
      <c r="L45" s="23" t="inlineStr">
        <is>
          <t xml:space="preserve">Pass</t>
        </is>
      </c>
      <c r="M45" s="22" t="inlineStr">
        <is>
          <t xml:space="preserve">Screenshots: TC-LOG-044-*.jpg Recovered evidence from the prior recorded browser run; reviewed in this continuation, not rerun as a fresh account test.</t>
        </is>
      </c>
    </row>
  </sheetData>
  <autoFilter ref="A1:M45"/>
  <conditionalFormatting sqref="L2:L45">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false" error="Choose Pass, Fail, Blocked or Not Run." errorStyle="stop" errorTitle="Invalid status" operator="between" showDropDown="false" showErrorMessage="false" showInputMessage="false" sqref="L2:L45"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2026-10-07T02:30:49Z</dcterms:created>
  <dc:creator>openpyxl</dc:creator>
  <dc:description/>
  <dc:language>en-US</dc:language>
  <cp:lastModifiedBy/>
  <dcterms:modified xsi:type="dcterms:W3CDTF">2026-10-16T08:41:32Z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