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S1 Store Profile" sheetId="5" state="visible" r:id="rId5"/>
    <sheet xmlns:r="http://schemas.openxmlformats.org/officeDocument/2006/relationships" name="S2 Store Categories" sheetId="6" state="visible" r:id="rId6"/>
    <sheet xmlns:r="http://schemas.openxmlformats.org/officeDocument/2006/relationships" name="S3 Product Mgmt" sheetId="7" state="visible" r:id="rId7"/>
    <sheet xmlns:r="http://schemas.openxmlformats.org/officeDocument/2006/relationships" name="S4 Variants" sheetId="8" state="visible" r:id="rId8"/>
    <sheet xmlns:r="http://schemas.openxmlformats.org/officeDocument/2006/relationships" name="S5 Inventory" sheetId="9" state="visible" r:id="rId9"/>
    <sheet xmlns:r="http://schemas.openxmlformats.org/officeDocument/2006/relationships" name="S6 Discounts" sheetId="10" state="visible" r:id="rId10"/>
    <sheet xmlns:r="http://schemas.openxmlformats.org/officeDocument/2006/relationships" name="S7 Store Vouchers" sheetId="11" state="visible" r:id="rId11"/>
    <sheet xmlns:r="http://schemas.openxmlformats.org/officeDocument/2006/relationships" name="S8 Flash &amp; Bundles" sheetId="12" state="visible" r:id="rId12"/>
    <sheet xmlns:r="http://schemas.openxmlformats.org/officeDocument/2006/relationships" name="S9 Order Processing" sheetId="13" state="visible" r:id="rId13"/>
    <sheet xmlns:r="http://schemas.openxmlformats.org/officeDocument/2006/relationships" name="S10 Returns" sheetId="14" state="visible" r:id="rId14"/>
    <sheet xmlns:r="http://schemas.openxmlformats.org/officeDocument/2006/relationships" name="S11 Reviews &amp; Chat" sheetId="15" state="visible" r:id="rId15"/>
    <sheet xmlns:r="http://schemas.openxmlformats.org/officeDocument/2006/relationships" name="S12 Reports &amp; Earnings" sheetId="16" state="visible" r:id="rId16"/>
  </sheets>
  <definedNames>
    <definedName name="_xlnm._FilterDatabase" localSheetId="4" hidden="1">'S1 Store Profile'!$A$1:$M$14</definedName>
    <definedName name="_xlnm._FilterDatabase" localSheetId="5" hidden="1">'S2 Store Categories'!$A$1:$M$14</definedName>
    <definedName name="_xlnm._FilterDatabase" localSheetId="6" hidden="1">'S3 Product Mgmt'!$A$1:$M$19</definedName>
    <definedName name="_xlnm._FilterDatabase" localSheetId="7" hidden="1">'S4 Variants'!$A$1:$M$13</definedName>
    <definedName name="_xlnm._FilterDatabase" localSheetId="8" hidden="1">'S5 Inventory'!$A$1:$M$11</definedName>
    <definedName name="_xlnm._FilterDatabase" localSheetId="9" hidden="1">'S6 Discounts'!$A$1:$M$11</definedName>
    <definedName name="_xlnm._FilterDatabase" localSheetId="10" hidden="1">'S7 Store Vouchers'!$A$1:$M$12</definedName>
    <definedName name="_xlnm._FilterDatabase" localSheetId="11" hidden="1">'S8 Flash &amp; Bundles'!$A$1:$M$9</definedName>
    <definedName name="_xlnm._FilterDatabase" localSheetId="12" hidden="1">'S9 Order Processing'!$A$1:$M$9</definedName>
    <definedName name="_xlnm._FilterDatabase" localSheetId="13" hidden="1">'S10 Returns'!$A$1:$M$8</definedName>
    <definedName name="_xlnm._FilterDatabase" localSheetId="14" hidden="1">'S11 Reviews &amp; Chat'!$A$1:$M$8</definedName>
    <definedName name="_xlnm._FilterDatabase" localSheetId="15" hidden="1">'S12 Reports &amp; Earnings'!$A$1:$M$8</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Seller Modules (S1–S12)</t>
        </is>
      </c>
    </row>
    <row r="2">
      <c r="A2" s="2" t="inlineStr">
        <is>
          <t>Multi-role e-commerce and logistics platform (Buyer, Seller, Logistics, Rider)</t>
        </is>
      </c>
    </row>
    <row r="4">
      <c r="A4" s="3" t="inlineStr">
        <is>
          <t>Test run details</t>
        </is>
      </c>
    </row>
    <row r="5">
      <c r="A5" s="4" t="inlineStr">
        <is>
          <t>System under test</t>
        </is>
      </c>
      <c r="B5" s="5" t="inlineStr">
        <is>
          <t xml:space="preserve">Loved-IT marketplace — existing local React frontend and Laravel API</t>
        </is>
      </c>
    </row>
    <row r="6">
      <c r="A6" s="4" t="inlineStr">
        <is>
          <t>Version / build</t>
        </is>
      </c>
      <c r="B6" s="5" t="inlineStr">
        <is>
          <t xml:space="preserve">king/courier-companies, commit 335f7c5; existing local working tree</t>
        </is>
      </c>
    </row>
    <row r="7">
      <c r="A7" s="4" t="inlineStr">
        <is>
          <t>Test environment (browser, device)</t>
        </is>
      </c>
      <c r="B7" s="5" t="inlineStr">
        <is>
          <t xml:space="preserve">Windows; Edge 1366x900 plus real local API. Isolated velure_blackbox DB, separate storage and log mail. Missing features assessed by implementation review.</t>
        </is>
      </c>
    </row>
    <row r="8">
      <c r="A8" s="4" t="inlineStr">
        <is>
          <t>Tester</t>
        </is>
      </c>
      <c r="B8" s="5" t="inlineStr">
        <is>
          <t xml:space="preserve">Codex automated runtime tests and implementation review; method stated in each Remarks cell</t>
        </is>
      </c>
    </row>
    <row r="9">
      <c r="A9" s="4" t="inlineStr">
        <is>
          <t>Date tested</t>
        </is>
      </c>
      <c r="B9" s="5" t="inlineStr">
        <is>
          <t xml:space="preserve">2026-10-18 (Asia/Manila)</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S1 Store Profile</t>
        </is>
      </c>
      <c r="B13" s="8">
        <f>COUNTA('S1 Store Profile'!$A$2:$A$200)</f>
        <v/>
      </c>
      <c r="C13" s="8">
        <f>COUNTIF('S1 Store Profile'!$L$2:$L$200,"Pass")</f>
        <v/>
      </c>
      <c r="D13" s="8">
        <f>COUNTIF('S1 Store Profile'!$L$2:$L$200,"Fail")</f>
        <v/>
      </c>
      <c r="E13" s="8">
        <f>COUNTIF('S1 Store Profile'!$L$2:$L$200,"Blocked")</f>
        <v/>
      </c>
      <c r="F13" s="8">
        <f>COUNTIF('S1 Store Profile'!$L$2:$L$200,"Not Run")</f>
        <v/>
      </c>
      <c r="G13" s="9">
        <f>IF(B13=0,0,C13/B13)</f>
        <v/>
      </c>
    </row>
    <row r="14">
      <c r="A14" s="7" t="inlineStr">
        <is>
          <t>S2 Store Categories</t>
        </is>
      </c>
      <c r="B14" s="8">
        <f>COUNTA('S2 Store Categories'!$A$2:$A$200)</f>
        <v/>
      </c>
      <c r="C14" s="8">
        <f>COUNTIF('S2 Store Categories'!$L$2:$L$200,"Pass")</f>
        <v/>
      </c>
      <c r="D14" s="8">
        <f>COUNTIF('S2 Store Categories'!$L$2:$L$200,"Fail")</f>
        <v/>
      </c>
      <c r="E14" s="8">
        <f>COUNTIF('S2 Store Categories'!$L$2:$L$200,"Blocked")</f>
        <v/>
      </c>
      <c r="F14" s="8">
        <f>COUNTIF('S2 Store Categories'!$L$2:$L$200,"Not Run")</f>
        <v/>
      </c>
      <c r="G14" s="9">
        <f>IF(B14=0,0,C14/B14)</f>
        <v/>
      </c>
    </row>
    <row r="15">
      <c r="A15" s="7" t="inlineStr">
        <is>
          <t>S3 Product Mgmt</t>
        </is>
      </c>
      <c r="B15" s="8">
        <f>COUNTA('S3 Product Mgmt'!$A$2:$A$200)</f>
        <v/>
      </c>
      <c r="C15" s="8">
        <f>COUNTIF('S3 Product Mgmt'!$L$2:$L$200,"Pass")</f>
        <v/>
      </c>
      <c r="D15" s="8">
        <f>COUNTIF('S3 Product Mgmt'!$L$2:$L$200,"Fail")</f>
        <v/>
      </c>
      <c r="E15" s="8">
        <f>COUNTIF('S3 Product Mgmt'!$L$2:$L$200,"Blocked")</f>
        <v/>
      </c>
      <c r="F15" s="8">
        <f>COUNTIF('S3 Product Mgmt'!$L$2:$L$200,"Not Run")</f>
        <v/>
      </c>
      <c r="G15" s="9">
        <f>IF(B15=0,0,C15/B15)</f>
        <v/>
      </c>
    </row>
    <row r="16">
      <c r="A16" s="7" t="inlineStr">
        <is>
          <t>S4 Variants</t>
        </is>
      </c>
      <c r="B16" s="8">
        <f>COUNTA('S4 Variants'!$A$2:$A$200)</f>
        <v/>
      </c>
      <c r="C16" s="8">
        <f>COUNTIF('S4 Variants'!$L$2:$L$200,"Pass")</f>
        <v/>
      </c>
      <c r="D16" s="8">
        <f>COUNTIF('S4 Variants'!$L$2:$L$200,"Fail")</f>
        <v/>
      </c>
      <c r="E16" s="8">
        <f>COUNTIF('S4 Variants'!$L$2:$L$200,"Blocked")</f>
        <v/>
      </c>
      <c r="F16" s="8">
        <f>COUNTIF('S4 Variants'!$L$2:$L$200,"Not Run")</f>
        <v/>
      </c>
      <c r="G16" s="9">
        <f>IF(B16=0,0,C16/B16)</f>
        <v/>
      </c>
    </row>
    <row r="17">
      <c r="A17" s="7" t="inlineStr">
        <is>
          <t>S5 Inventory</t>
        </is>
      </c>
      <c r="B17" s="8">
        <f>COUNTA('S5 Inventory'!$A$2:$A$200)</f>
        <v/>
      </c>
      <c r="C17" s="8">
        <f>COUNTIF('S5 Inventory'!$L$2:$L$200,"Pass")</f>
        <v/>
      </c>
      <c r="D17" s="8">
        <f>COUNTIF('S5 Inventory'!$L$2:$L$200,"Fail")</f>
        <v/>
      </c>
      <c r="E17" s="8">
        <f>COUNTIF('S5 Inventory'!$L$2:$L$200,"Blocked")</f>
        <v/>
      </c>
      <c r="F17" s="8">
        <f>COUNTIF('S5 Inventory'!$L$2:$L$200,"Not Run")</f>
        <v/>
      </c>
      <c r="G17" s="9">
        <f>IF(B17=0,0,C17/B17)</f>
        <v/>
      </c>
    </row>
    <row r="18">
      <c r="A18" s="7" t="inlineStr">
        <is>
          <t>S6 Discounts</t>
        </is>
      </c>
      <c r="B18" s="8">
        <f>COUNTA('S6 Discounts'!$A$2:$A$200)</f>
        <v/>
      </c>
      <c r="C18" s="8">
        <f>COUNTIF('S6 Discounts'!$L$2:$L$200,"Pass")</f>
        <v/>
      </c>
      <c r="D18" s="8">
        <f>COUNTIF('S6 Discounts'!$L$2:$L$200,"Fail")</f>
        <v/>
      </c>
      <c r="E18" s="8">
        <f>COUNTIF('S6 Discounts'!$L$2:$L$200,"Blocked")</f>
        <v/>
      </c>
      <c r="F18" s="8">
        <f>COUNTIF('S6 Discounts'!$L$2:$L$200,"Not Run")</f>
        <v/>
      </c>
      <c r="G18" s="9">
        <f>IF(B18=0,0,C18/B18)</f>
        <v/>
      </c>
    </row>
    <row r="19">
      <c r="A19" s="7" t="inlineStr">
        <is>
          <t>S7 Store Vouchers</t>
        </is>
      </c>
      <c r="B19" s="8">
        <f>COUNTA('S7 Store Vouchers'!$A$2:$A$200)</f>
        <v/>
      </c>
      <c r="C19" s="8">
        <f>COUNTIF('S7 Store Vouchers'!$L$2:$L$200,"Pass")</f>
        <v/>
      </c>
      <c r="D19" s="8">
        <f>COUNTIF('S7 Store Vouchers'!$L$2:$L$200,"Fail")</f>
        <v/>
      </c>
      <c r="E19" s="8">
        <f>COUNTIF('S7 Store Vouchers'!$L$2:$L$200,"Blocked")</f>
        <v/>
      </c>
      <c r="F19" s="8">
        <f>COUNTIF('S7 Store Vouchers'!$L$2:$L$200,"Not Run")</f>
        <v/>
      </c>
      <c r="G19" s="9">
        <f>IF(B19=0,0,C19/B19)</f>
        <v/>
      </c>
    </row>
    <row r="20">
      <c r="A20" s="7" t="inlineStr">
        <is>
          <t>S8 Flash &amp; Bundles</t>
        </is>
      </c>
      <c r="B20" s="8">
        <f>COUNTA('S8 Flash &amp; Bundles'!$A$2:$A$200)</f>
        <v/>
      </c>
      <c r="C20" s="8">
        <f>COUNTIF('S8 Flash &amp; Bundles'!$L$2:$L$200,"Pass")</f>
        <v/>
      </c>
      <c r="D20" s="8">
        <f>COUNTIF('S8 Flash &amp; Bundles'!$L$2:$L$200,"Fail")</f>
        <v/>
      </c>
      <c r="E20" s="8">
        <f>COUNTIF('S8 Flash &amp; Bundles'!$L$2:$L$200,"Blocked")</f>
        <v/>
      </c>
      <c r="F20" s="8">
        <f>COUNTIF('S8 Flash &amp; Bundles'!$L$2:$L$200,"Not Run")</f>
        <v/>
      </c>
      <c r="G20" s="9">
        <f>IF(B20=0,0,C20/B20)</f>
        <v/>
      </c>
    </row>
    <row r="21">
      <c r="A21" s="7" t="inlineStr">
        <is>
          <t>S9 Order Processing</t>
        </is>
      </c>
      <c r="B21" s="8">
        <f>COUNTA('S9 Order Processing'!$A$2:$A$200)</f>
        <v/>
      </c>
      <c r="C21" s="8">
        <f>COUNTIF('S9 Order Processing'!$L$2:$L$200,"Pass")</f>
        <v/>
      </c>
      <c r="D21" s="8">
        <f>COUNTIF('S9 Order Processing'!$L$2:$L$200,"Fail")</f>
        <v/>
      </c>
      <c r="E21" s="8">
        <f>COUNTIF('S9 Order Processing'!$L$2:$L$200,"Blocked")</f>
        <v/>
      </c>
      <c r="F21" s="8">
        <f>COUNTIF('S9 Order Processing'!$L$2:$L$200,"Not Run")</f>
        <v/>
      </c>
      <c r="G21" s="9">
        <f>IF(B21=0,0,C21/B21)</f>
        <v/>
      </c>
    </row>
    <row r="22">
      <c r="A22" s="7" t="inlineStr">
        <is>
          <t>S10 Returns</t>
        </is>
      </c>
      <c r="B22" s="8">
        <f>COUNTA('S10 Returns'!$A$2:$A$200)</f>
        <v/>
      </c>
      <c r="C22" s="8">
        <f>COUNTIF('S10 Returns'!$L$2:$L$200,"Pass")</f>
        <v/>
      </c>
      <c r="D22" s="8">
        <f>COUNTIF('S10 Returns'!$L$2:$L$200,"Fail")</f>
        <v/>
      </c>
      <c r="E22" s="8">
        <f>COUNTIF('S10 Returns'!$L$2:$L$200,"Blocked")</f>
        <v/>
      </c>
      <c r="F22" s="8">
        <f>COUNTIF('S10 Returns'!$L$2:$L$200,"Not Run")</f>
        <v/>
      </c>
      <c r="G22" s="9">
        <f>IF(B22=0,0,C22/B22)</f>
        <v/>
      </c>
    </row>
    <row r="23">
      <c r="A23" s="7" t="inlineStr">
        <is>
          <t>S11 Reviews &amp; Chat</t>
        </is>
      </c>
      <c r="B23" s="8">
        <f>COUNTA('S11 Reviews &amp; Chat'!$A$2:$A$200)</f>
        <v/>
      </c>
      <c r="C23" s="8">
        <f>COUNTIF('S11 Reviews &amp; Chat'!$L$2:$L$200,"Pass")</f>
        <v/>
      </c>
      <c r="D23" s="8">
        <f>COUNTIF('S11 Reviews &amp; Chat'!$L$2:$L$200,"Fail")</f>
        <v/>
      </c>
      <c r="E23" s="8">
        <f>COUNTIF('S11 Reviews &amp; Chat'!$L$2:$L$200,"Blocked")</f>
        <v/>
      </c>
      <c r="F23" s="8">
        <f>COUNTIF('S11 Reviews &amp; Chat'!$L$2:$L$200,"Not Run")</f>
        <v/>
      </c>
      <c r="G23" s="9">
        <f>IF(B23=0,0,C23/B23)</f>
        <v/>
      </c>
    </row>
    <row r="24">
      <c r="A24" s="7" t="inlineStr">
        <is>
          <t>S12 Reports &amp; Earnings</t>
        </is>
      </c>
      <c r="B24" s="8">
        <f>COUNTA('S12 Reports &amp; Earnings'!$A$2:$A$200)</f>
        <v/>
      </c>
      <c r="C24" s="8">
        <f>COUNTIF('S12 Reports &amp; Earnings'!$L$2:$L$200,"Pass")</f>
        <v/>
      </c>
      <c r="D24" s="8">
        <f>COUNTIF('S12 Reports &amp; Earnings'!$L$2:$L$200,"Fail")</f>
        <v/>
      </c>
      <c r="E24" s="8">
        <f>COUNTIF('S12 Reports &amp; Earnings'!$L$2:$L$200,"Blocked")</f>
        <v/>
      </c>
      <c r="F24" s="8">
        <f>COUNTIF('S12 Reports &amp; Earnings'!$L$2:$L$200,"Not Run")</f>
        <v/>
      </c>
      <c r="G24" s="9">
        <f>IF(B24=0,0,C24/B24)</f>
        <v/>
      </c>
    </row>
    <row r="25">
      <c r="A25" s="4" t="inlineStr">
        <is>
          <t>Total</t>
        </is>
      </c>
      <c r="B25" s="4">
        <f>SUM(B13:B24)</f>
        <v/>
      </c>
      <c r="C25" s="4">
        <f>SUM(C13:C24)</f>
        <v/>
      </c>
      <c r="D25" s="4">
        <f>SUM(D13:D24)</f>
        <v/>
      </c>
      <c r="E25" s="4">
        <f>SUM(E13:E24)</f>
        <v/>
      </c>
      <c r="F25" s="4">
        <f>SUM(F13:F24)</f>
        <v/>
      </c>
      <c r="G25" s="10">
        <f>IF(B25=0,0,C25/B25)</f>
        <v/>
      </c>
    </row>
    <row r="27">
      <c r="A27" s="3" t="inlineStr">
        <is>
          <t>How to use this workbook</t>
        </is>
      </c>
    </row>
    <row r="28" ht="16.75" customHeight="1">
      <c r="A28" s="11" t="inlineStr">
        <is>
          <t>1. Seller modules run first: the catalog and promotions created here are used by the Buyer, Rider and Logistics test sets.</t>
        </is>
      </c>
    </row>
    <row r="29" ht="29.5" customHeight="1">
      <c r="A29"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0" ht="29.5" customHeight="1">
      <c r="A30" s="11" t="inlineStr">
        <is>
          <t>3. Check side effects, not just the screen: after each case, confirm the stock, order status, voucher usage, balances and the other roles' views named in the Expected Result. 'Nothing is saved' means the record is missing after a page refresh.</t>
        </is>
      </c>
    </row>
    <row r="31" ht="29.5" customHeight="1">
      <c r="A31" s="11" t="inlineStr">
        <is>
          <t>4. Error messages must appear next to the field (or at the top of the form) and say what is wrong and how to fix it. A generic 'Something went wrong', a blank page, or a 500 error is a Fail even when the action was correctly blocked.</t>
        </is>
      </c>
    </row>
    <row r="32" ht="29.5" customHeight="1">
      <c r="A32" s="11" t="inlineStr">
        <is>
          <t>5. For 'Error Guessing' security cases, a correct block shows a 403 page, a 'not found' page or a redirect, and shows NO data from the other user's record anywhere on the page.</t>
        </is>
      </c>
    </row>
    <row r="33" ht="29.5" customHeight="1">
      <c r="A33" s="11" t="inlineStr">
        <is>
          <t>6. Read the Assumptions sheet first. Rules A2 to A8 are the seven rules the module plan says must be agreed before testing; adjust any case whose rule differs from your system.</t>
        </is>
      </c>
    </row>
    <row r="34" ht="29.5" customHeight="1">
      <c r="A34" s="11" t="inlineStr">
        <is>
          <t>7. Seed the accounts, products, vouchers and shipping rates on the Test Data sheet before running the cases. Emails use example.com; read them from a mail catcher such as Mailtrap.</t>
        </is>
      </c>
    </row>
    <row r="35" ht="16.75" customHeight="1">
      <c r="A35" s="11" t="inlineStr">
        <is>
          <t>8. Test Case IDs follow &lt;ROLE&gt;-&lt;MODULE&gt;-&lt;NNN&gt;. Each module has positive, negative and boundary cases.</t>
        </is>
      </c>
    </row>
    <row r="36" ht="16.75" customHeight="1">
      <c r="A36" s="11" t="inlineStr">
        <is>
          <t>9. Fill in only the yellow cells: Actual Result, Status and Remarks. Pick the Status from the dropdown (Pass, Fail, Blocked, Not Run).</t>
        </is>
      </c>
    </row>
    <row r="37" ht="29.5" customHeight="1">
      <c r="A37" s="11" t="inlineStr">
        <is>
          <t>10. Pass = actual matches expected. Fail = it does not (describe what happened and add a screenshot or bug number in Remarks). Blocked = the case could not be run, for example because an earlier case failed.</t>
        </is>
      </c>
    </row>
    <row r="38" ht="16.75" customHeight="1">
      <c r="A38" s="11" t="inlineStr">
        <is>
          <t>11. The Results by module table above updates automatically from the Status column.</t>
        </is>
      </c>
    </row>
    <row r="40">
      <c r="A40" s="3" t="inlineStr">
        <is>
          <t>Black-box techniques used</t>
        </is>
      </c>
    </row>
    <row r="41">
      <c r="A41" s="4" t="inlineStr">
        <is>
          <t>Equivalence Partitioning</t>
        </is>
      </c>
      <c r="B41" s="8" t="inlineStr">
        <is>
          <t>Inputs are grouped into valid and invalid classes, and one value from each class is tested.</t>
        </is>
      </c>
      <c r="C41" s="12" t="n"/>
      <c r="D41" s="12" t="n"/>
      <c r="E41" s="12" t="n"/>
      <c r="F41" s="12" t="n"/>
      <c r="G41" s="13" t="n"/>
    </row>
    <row r="42">
      <c r="A42" s="4" t="inlineStr">
        <is>
          <t>Boundary Value Analysis</t>
        </is>
      </c>
      <c r="B42" s="8" t="inlineStr">
        <is>
          <t>Values at and just beyond a limit are tested, for example ₱0.99, ₱1.00 and ₱1.01 for a ₱1.00 minimum price.</t>
        </is>
      </c>
      <c r="C42" s="12" t="n"/>
      <c r="D42" s="12" t="n"/>
      <c r="E42" s="12" t="n"/>
      <c r="F42" s="12" t="n"/>
      <c r="G42" s="13" t="n"/>
    </row>
    <row r="43">
      <c r="A43" s="4" t="inlineStr">
        <is>
          <t>Decision Table</t>
        </is>
      </c>
      <c r="B43" s="8" t="inlineStr">
        <is>
          <t>Combinations of conditions are tested, for example which vouchers can stack.</t>
        </is>
      </c>
      <c r="C43" s="12" t="n"/>
      <c r="D43" s="12" t="n"/>
      <c r="E43" s="12" t="n"/>
      <c r="F43" s="12" t="n"/>
      <c r="G43" s="13" t="n"/>
    </row>
    <row r="44">
      <c r="A44" s="4" t="inlineStr">
        <is>
          <t>State Transition</t>
        </is>
      </c>
      <c r="B44" s="8" t="inlineStr">
        <is>
          <t>Changes in order or shipment status are tested, including transitions that must be blocked.</t>
        </is>
      </c>
      <c r="C44" s="12" t="n"/>
      <c r="D44" s="12" t="n"/>
      <c r="E44" s="12" t="n"/>
      <c r="F44" s="12" t="n"/>
      <c r="G44" s="13" t="n"/>
    </row>
    <row r="45">
      <c r="A45" s="4" t="inlineStr">
        <is>
          <t>Use Case Testing</t>
        </is>
      </c>
      <c r="B45" s="8" t="inlineStr">
        <is>
          <t>A complete user flow is tested from start to finish with valid data.</t>
        </is>
      </c>
      <c r="C45" s="12" t="n"/>
      <c r="D45" s="12" t="n"/>
      <c r="E45" s="12" t="n"/>
      <c r="F45" s="12" t="n"/>
      <c r="G45" s="13" t="n"/>
    </row>
    <row r="46">
      <c r="A46" s="4" t="inlineStr">
        <is>
          <t>Error Guessing</t>
        </is>
      </c>
      <c r="B46" s="8" t="inlineStr">
        <is>
          <t>Likely mistakes are tested based on experience, for example double-clicking Place Order or editing an ID in the URL.</t>
        </is>
      </c>
      <c r="C46" s="12" t="n"/>
      <c r="D46" s="12" t="n"/>
      <c r="E46" s="12" t="n"/>
      <c r="F46" s="12" t="n"/>
      <c r="G46" s="13" t="n"/>
    </row>
  </sheetData>
  <mergeCells count="17">
    <mergeCell ref="A32:G32"/>
    <mergeCell ref="A36:G36"/>
    <mergeCell ref="B42:G42"/>
    <mergeCell ref="B46:G46"/>
    <mergeCell ref="A31:G31"/>
    <mergeCell ref="B45:G45"/>
    <mergeCell ref="A34:G34"/>
    <mergeCell ref="A35:G35"/>
    <mergeCell ref="B41:G41"/>
    <mergeCell ref="A30:G30"/>
    <mergeCell ref="A38:G38"/>
    <mergeCell ref="B43:G43"/>
    <mergeCell ref="A29:G29"/>
    <mergeCell ref="B44:G44"/>
    <mergeCell ref="A33:G33"/>
    <mergeCell ref="A28:G2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18.75" customHeight="1">
      <c r="A2" s="7" t="inlineStr">
        <is>
          <t>SEL-PROF-001</t>
        </is>
      </c>
      <c r="B2" s="8" t="inlineStr">
        <is>
          <t>Store Profile &amp; Settings</t>
        </is>
      </c>
      <c r="C2" s="8" t="inlineStr">
        <is>
          <t>Update store profile with all valid data</t>
        </is>
      </c>
      <c r="D2" s="8" t="inlineStr">
        <is>
          <t>Use Case Testing</t>
        </is>
      </c>
      <c r="E2" s="8" t="inlineStr">
        <is>
          <t>High</t>
        </is>
      </c>
      <c r="F2" s="8" t="inlineStr">
        <is>
          <t>Logged in as Seller 1 (Approved). Store Settings page is open.</t>
        </is>
      </c>
      <c r="G2" s="8" t="inlineStr">
        <is>
          <t>1. Change Store Name, Description and Contact Number to the test data.
2. Upload the logo and the banner.
3. Click Save.
4. Refresh the Store Settings page.
5. Log in as Buyer 1 in another browser and open Seller 1's store page.
6. Search for 'Maria Clara Handicrafts PH' as Buyer 1.</t>
        </is>
      </c>
      <c r="H2" s="8" t="inlineStr">
        <is>
          <t>Store Name: Maria Clara Handicrafts PH
Description: Handwoven bags and home decor from Bulacan artisans.
Contact Number: 09189876543
Logo: store_logo.png (300 KB)
Banner: store_banner.jpg (1.8 MB)</t>
        </is>
      </c>
      <c r="I2" s="8" t="inlineStr">
        <is>
          <t>A success message is shown. After refresh every field shows the saved value. The buyer's store page shows the new name, description, logo and banner, and the store search finds the new name. The old name no longer appears anywhere on the buyer side. No other store's data changes.</t>
        </is>
      </c>
      <c r="J2" s="8" t="inlineStr">
        <is>
          <t>A16, A25</t>
        </is>
      </c>
      <c r="K2" s="5" t="inlineStr">
        <is>
          <t xml:space="preserve">Profile/logo/banner save 200; buyer shop shows new name true; public data and shop search retrieved 200.</t>
        </is>
      </c>
      <c r="L2" s="5" t="inlineStr">
        <is>
          <t xml:space="preserve">Pass</t>
        </is>
      </c>
      <c r="M2" s="5" t="inlineStr">
        <is>
          <t xml:space="preserve">Uploaded the workbook logo/banner and loaded the public shop in Edge; source values saved via real API.</t>
        </is>
      </c>
    </row>
    <row r="3" ht="80.5" customHeight="1">
      <c r="A3" s="7" t="inlineStr">
        <is>
          <t>SEL-PROF-002</t>
        </is>
      </c>
      <c r="B3" s="8" t="inlineStr">
        <is>
          <t>Store Profile &amp; Settings</t>
        </is>
      </c>
      <c r="C3" s="8" t="inlineStr">
        <is>
          <t>Each required field left blank</t>
        </is>
      </c>
      <c r="D3" s="8" t="inlineStr">
        <is>
          <t>Equivalence Partitioning</t>
        </is>
      </c>
      <c r="E3" s="8" t="inlineStr">
        <is>
          <t>High</t>
        </is>
      </c>
      <c r="F3" s="8" t="inlineStr">
        <is>
          <t>Logged in as Seller 1 (Approved). Store Settings page is open.</t>
        </is>
      </c>
      <c r="G3" s="8" t="inlineStr">
        <is>
          <t>1. Clear Store Name and click Save.
2. Refresh, clear Contact Number and click Save.
3. Refresh, clear Pickup Address (each part) and click Save.
4. Refresh the page after each attempt.</t>
        </is>
      </c>
      <c r="H3" s="8" t="inlineStr">
        <is>
          <t>Clear in turn: Store Name, Contact Number, Region, City / Municipality, Barangay, Street Address</t>
        </is>
      </c>
      <c r="I3" s="8" t="inlineStr">
        <is>
          <t>Each attempt is blocked. A required-field message appears on the blank field only. After refresh, the original values are still saved; nothing was changed.</t>
        </is>
      </c>
      <c r="J3" s="8" t="inlineStr">
        <is>
          <t>A25</t>
        </is>
      </c>
      <c r="K3" s="5" t="inlineStr">
        <is>
          <t xml:space="preserve">Blank shop contact number returned HTTP 200; saved value null. Contact is nullable, contrary to required-field rejection.</t>
        </is>
      </c>
      <c r="L3" s="5" t="inlineStr">
        <is>
          <t xml:space="preserve">Fail</t>
        </is>
      </c>
      <c r="M3" s="5" t="inlineStr">
        <is>
          <t xml:space="preserve">Tested through the local system API on isolated velure_blackbox; judged against the workbook expected result.</t>
        </is>
      </c>
    </row>
    <row r="4" ht="42.25" customHeight="1">
      <c r="A4" s="7" t="inlineStr">
        <is>
          <t>SEL-PROF-003</t>
        </is>
      </c>
      <c r="B4" s="8" t="inlineStr">
        <is>
          <t>Store Profile &amp; Settings</t>
        </is>
      </c>
      <c r="C4" s="8" t="inlineStr">
        <is>
          <t>Fields containing only spaces</t>
        </is>
      </c>
      <c r="D4" s="8" t="inlineStr">
        <is>
          <t>Equivalence Partitioning</t>
        </is>
      </c>
      <c r="E4" s="8" t="inlineStr">
        <is>
          <t>Medium</t>
        </is>
      </c>
      <c r="F4" s="8" t="inlineStr">
        <is>
          <t>Logged in as Seller 1 (Approved). Store Settings page is open.</t>
        </is>
      </c>
      <c r="G4" s="8" t="inlineStr">
        <is>
          <t>1. Enter only spaces in Store Name.
2. Click Save.</t>
        </is>
      </c>
      <c r="H4" s="8" t="inlineStr">
        <is>
          <t>Store Name: '     ' (5 spaces)</t>
        </is>
      </c>
      <c r="I4" s="8" t="inlineStr">
        <is>
          <t>Saving is blocked with the required-field message (spaces are trimmed, so the field counts as empty). The old store name is kept.</t>
        </is>
      </c>
      <c r="J4" s="8" t="inlineStr">
        <is>
          <t>A25</t>
        </is>
      </c>
      <c r="K4" s="5" t="inlineStr">
        <is>
          <t xml:space="preserve">Spaces-only store name returned 422; saved name: "Maria Clara Handicrafts".</t>
        </is>
      </c>
      <c r="L4" s="5" t="inlineStr">
        <is>
          <t xml:space="preserve">Pass</t>
        </is>
      </c>
      <c r="M4" s="5" t="inlineStr">
        <is>
          <t xml:space="preserve">API test on isolated velure_blackbox database. UI steps not executed.</t>
        </is>
      </c>
    </row>
    <row r="5" ht="55" customHeight="1">
      <c r="A5" s="7" t="inlineStr">
        <is>
          <t>SEL-PROF-004</t>
        </is>
      </c>
      <c r="B5" s="8" t="inlineStr">
        <is>
          <t>Store Profile &amp; Settings</t>
        </is>
      </c>
      <c r="C5" s="8" t="inlineStr">
        <is>
          <t>Store name already used by another store</t>
        </is>
      </c>
      <c r="D5" s="8" t="inlineStr">
        <is>
          <t>Equivalence Partitioning</t>
        </is>
      </c>
      <c r="E5" s="8" t="inlineStr">
        <is>
          <t>High</t>
        </is>
      </c>
      <c r="F5" s="8" t="inlineStr">
        <is>
          <t>Logged in as Seller 1 (Approved). Store Settings page is open.</t>
        </is>
      </c>
      <c r="G5" s="8" t="inlineStr">
        <is>
          <t>1. Enter each store name in the test data, one per attempt.
2. Click Save each time.</t>
        </is>
      </c>
      <c r="H5" s="8" t="inlineStr">
        <is>
          <t>RV Gadget Hub
rv gadget hub
'  RV Gadget Hub  ' (with leading and trailing spaces)</t>
        </is>
      </c>
      <c r="I5" s="8" t="inlineStr">
        <is>
          <t>All three are blocked with a message that the store name is already taken (the check ignores case and leading or trailing spaces). Seller 1's name is unchanged.</t>
        </is>
      </c>
      <c r="J5" s="8" t="inlineStr">
        <is>
          <t>A25</t>
        </is>
      </c>
      <c r="K5" s="5" t="inlineStr">
        <is>
          <t xml:space="preserve">Duplicate store name, lowercase, padded: HTTP 422, 422, 422; name unchanged: true.</t>
        </is>
      </c>
      <c r="L5" s="5" t="inlineStr">
        <is>
          <t xml:space="preserve">Pass</t>
        </is>
      </c>
      <c r="M5" s="5" t="inlineStr">
        <is>
          <t xml:space="preserve">API test on isolated velure_blackbox database. UI steps not executed.</t>
        </is>
      </c>
    </row>
    <row r="6" ht="80.5" customHeight="1">
      <c r="A6" s="7" t="inlineStr">
        <is>
          <t>SEL-PROF-005</t>
        </is>
      </c>
      <c r="B6" s="8" t="inlineStr">
        <is>
          <t>Store Profile &amp; Settings</t>
        </is>
      </c>
      <c r="C6" s="8" t="inlineStr">
        <is>
          <t>Store name length at the limits</t>
        </is>
      </c>
      <c r="D6" s="8" t="inlineStr">
        <is>
          <t>Boundary Value Analysis</t>
        </is>
      </c>
      <c r="E6" s="8" t="inlineStr">
        <is>
          <t>High</t>
        </is>
      </c>
      <c r="F6" s="8" t="inlineStr">
        <is>
          <t>Logged in as Seller 1 (Approved). Store Settings page is open.</t>
        </is>
      </c>
      <c r="G6" s="8" t="inlineStr">
        <is>
          <t>1. Enter each store name in the test data, one per attempt.
2. Click Save each time and note the result.</t>
        </is>
      </c>
      <c r="H6" s="8" t="inlineStr">
        <is>
          <t>2 characters: MC (reject)
3 characters: MCH (accept)
30 characters: Maria Clara Handicrafts Bulaca (accept)
31 characters: Maria Clara Handicrafts Bulacan (reject)</t>
        </is>
      </c>
      <c r="I6" s="8" t="inlineStr">
        <is>
          <t>2 and 31 characters are rejected with a message stating the 3–30 character limit. 3 and 30 characters are saved exactly as typed. The field does not silently cut off the 31st character.</t>
        </is>
      </c>
      <c r="J6" s="8" t="inlineStr">
        <is>
          <t>A25</t>
        </is>
      </c>
      <c r="K6" s="5" t="inlineStr">
        <is>
          <t xml:space="preserve">Unique two-character name QZ saved with HTTP 200; workbook minimum is 3.</t>
        </is>
      </c>
      <c r="L6" s="5" t="inlineStr">
        <is>
          <t xml:space="preserve">Fail</t>
        </is>
      </c>
      <c r="M6" s="5" t="inlineStr">
        <is>
          <t xml:space="preserve">Tested through the local system API on isolated velure_blackbox; judged against the workbook expected result.</t>
        </is>
      </c>
    </row>
    <row r="7" ht="67.75" customHeight="1">
      <c r="A7" s="7" t="inlineStr">
        <is>
          <t>SEL-PROF-006</t>
        </is>
      </c>
      <c r="B7" s="8" t="inlineStr">
        <is>
          <t>Store Profile &amp; Settings</t>
        </is>
      </c>
      <c r="C7" s="8" t="inlineStr">
        <is>
          <t>Description length at the limit</t>
        </is>
      </c>
      <c r="D7" s="8" t="inlineStr">
        <is>
          <t>Boundary Value Analysis</t>
        </is>
      </c>
      <c r="E7" s="8" t="inlineStr">
        <is>
          <t>Medium</t>
        </is>
      </c>
      <c r="F7" s="8" t="inlineStr">
        <is>
          <t>Logged in as Seller 1 (Approved). Store Settings page is open.</t>
        </is>
      </c>
      <c r="G7" s="8" t="inlineStr">
        <is>
          <t>1. Paste a 500-character description and save.
2. Paste a 501-character description and save.</t>
        </is>
      </c>
      <c r="H7" s="8" t="inlineStr">
        <is>
          <t>500 characters (accept)
501 characters (reject)</t>
        </is>
      </c>
      <c r="I7" s="8" t="inlineStr">
        <is>
          <t>500 characters are saved and shown in full on the store page. 501 characters are rejected with a limit message, or the field stops input at 500; the saved text is never cut silently after saving.</t>
        </is>
      </c>
      <c r="J7" s="8" t="inlineStr">
        <is>
          <t>A25</t>
        </is>
      </c>
      <c r="K7" s="5" t="inlineStr">
        <is>
          <t xml:space="preserve">A 500-character description returned HTTP 500; 501 returned HTTP 422. The application log reports Data too long for column shop_description, so the valid boundary could not be saved.</t>
        </is>
      </c>
      <c r="L7" s="5" t="inlineStr">
        <is>
          <t xml:space="preserve">Fail</t>
        </is>
      </c>
      <c r="M7" s="5" t="inlineStr">
        <is>
          <t xml:space="preserve">API and isolated application log verified. Actual database capacity differs from the 500-character validator.</t>
        </is>
      </c>
    </row>
    <row r="8" ht="93.25" customHeight="1">
      <c r="A8" s="7" t="inlineStr">
        <is>
          <t>SEL-PROF-007</t>
        </is>
      </c>
      <c r="B8" s="8" t="inlineStr">
        <is>
          <t>Store Profile &amp; Settings</t>
        </is>
      </c>
      <c r="C8" s="8" t="inlineStr">
        <is>
          <t>Contact number format</t>
        </is>
      </c>
      <c r="D8" s="8" t="inlineStr">
        <is>
          <t>Equivalence Partitioning</t>
        </is>
      </c>
      <c r="E8" s="8" t="inlineStr">
        <is>
          <t>Medium</t>
        </is>
      </c>
      <c r="F8" s="8" t="inlineStr">
        <is>
          <t>Logged in as Seller 1 (Approved). Store Settings page is open.</t>
        </is>
      </c>
      <c r="G8" s="8" t="inlineStr">
        <is>
          <t>1. Enter each contact number, one per attempt, and save.</t>
        </is>
      </c>
      <c r="H8" s="8" t="inlineStr">
        <is>
          <t>09189876543 (accept)
+639189876543 (accept)
0918987654 (10 digits, reject)
091898765432 (12 digits, reject)
0918-ABC-6543 (reject)
08189876543 (does not start with 09, reject)</t>
        </is>
      </c>
      <c r="I8" s="8" t="inlineStr">
        <is>
          <t>Only the two valid Philippine mobile formats are accepted. Each invalid value shows a format message and nothing is saved.</t>
        </is>
      </c>
      <c r="J8" s="8" t="inlineStr"/>
      <c r="K8" s="5" t="inlineStr">
        <is>
          <t xml:space="preserve">10-digit mobile 0918987654 returned 200; required 11-digit Philippine mobile format was not enforced.</t>
        </is>
      </c>
      <c r="L8" s="5" t="inlineStr">
        <is>
          <t xml:space="preserve">Fail</t>
        </is>
      </c>
      <c r="M8" s="5" t="inlineStr">
        <is>
          <t xml:space="preserve">Tested through the local system API on isolated velure_blackbox; judged against the workbook expected result.</t>
        </is>
      </c>
    </row>
    <row r="9" ht="80.5" customHeight="1">
      <c r="A9" s="7" t="inlineStr">
        <is>
          <t>SEL-PROF-008</t>
        </is>
      </c>
      <c r="B9" s="8" t="inlineStr">
        <is>
          <t>Store Profile &amp; Settings</t>
        </is>
      </c>
      <c r="C9" s="8" t="inlineStr">
        <is>
          <t>Logo and banner file type and size</t>
        </is>
      </c>
      <c r="D9" s="8" t="inlineStr">
        <is>
          <t>Boundary Value Analysis</t>
        </is>
      </c>
      <c r="E9" s="8" t="inlineStr">
        <is>
          <t>High</t>
        </is>
      </c>
      <c r="F9" s="8" t="inlineStr">
        <is>
          <t>Logged in as Seller 1 (Approved). Store Settings page is open.</t>
        </is>
      </c>
      <c r="G9" s="8" t="inlineStr">
        <is>
          <t>1. Upload each file as the logo, one at a time, and save.
2. Repeat every file as the banner.
3. Refresh after each attempt.</t>
        </is>
      </c>
      <c r="H9" s="8" t="inlineStr">
        <is>
          <t>size_4.9MB.jpg (accept)
size_5.0MB.jpg (accept)
size_5.1MB.jpg (reject)
price_list.docx (reject)
installer.exe (reject)
renamed_exe.jpg (reject)</t>
        </is>
      </c>
      <c r="I9" s="8" t="inlineStr">
        <is>
          <t>The 4.9 MB and 5.0 MB images are accepted. The 5.1 MB file, the DOCX, the EXE and the renamed EXE are rejected with a message naming the allowed types and the 5 MB limit. After a rejection the previous logo or banner is still shown.</t>
        </is>
      </c>
      <c r="J9" s="8" t="inlineStr">
        <is>
          <t>A16</t>
        </is>
      </c>
      <c r="K9" s="5" t="inlineStr">
        <is>
          <t xml:space="preserve">4.9 MB logo upload, which the workbook expects to accept: HTTP 422; {"message":"The logo failed to upload.","errors":{"logo":["The logo failed to upload."]}}. Server PHP upload limit and logo validator do not meet the requested 5 MB acceptance boundary.</t>
        </is>
      </c>
      <c r="L9" s="5" t="inlineStr">
        <is>
          <t xml:space="preserve">Fail</t>
        </is>
      </c>
      <c r="M9" s="5" t="inlineStr">
        <is>
          <t xml:space="preserve">Tested through the local system API on isolated velure_blackbox; judged against the workbook expected result.</t>
        </is>
      </c>
    </row>
    <row r="10" ht="93.25" customHeight="1">
      <c r="A10" s="7" t="inlineStr">
        <is>
          <t>SEL-PROF-009</t>
        </is>
      </c>
      <c r="B10" s="8" t="inlineStr">
        <is>
          <t>Store Profile &amp; Settings</t>
        </is>
      </c>
      <c r="C10" s="8" t="inlineStr">
        <is>
          <t>Turn on vacation mode</t>
        </is>
      </c>
      <c r="D10" s="8" t="inlineStr">
        <is>
          <t>State Transition</t>
        </is>
      </c>
      <c r="E10" s="8" t="inlineStr">
        <is>
          <t>High</t>
        </is>
      </c>
      <c r="F10" s="8" t="inlineStr">
        <is>
          <t>Logged in as Seller 1 (Approved). Store is Open. Buyer 1 has P-02 in the cart.</t>
        </is>
      </c>
      <c r="G10" s="8" t="inlineStr">
        <is>
          <t>1. Turn on vacation mode and save.
2. As Buyer 1, open the store page and P-02.
3. Click Add to Cart and Buy Now.
4. Open the cart, select P-02 and click Check Out.
5. As Buyer 2, search for P-02.</t>
        </is>
      </c>
      <c r="H10" s="8" t="inlineStr">
        <is>
          <t>Product: P-02 Rattan Fruit Basket</t>
        </is>
      </c>
      <c r="I10" s="8" t="inlineStr">
        <is>
          <t>P-02 still appears in search and on the store page with an 'On vacation' label. Add to Cart and Buy Now are disabled. Checkout of the cart item is blocked with a vacation message. No order can be created for any Seller 1 product while vacation mode is on.</t>
        </is>
      </c>
      <c r="J10" s="8" t="inlineStr">
        <is>
          <t>A18</t>
        </is>
      </c>
      <c r="K10" s="5" t="inlineStr">
        <is>
          <t xml:space="preserve">Shop settings/API contain no vacation mode field; product buying cannot be suspended/resumed with the vacation workflow required by this case.</t>
        </is>
      </c>
      <c r="L10" s="5" t="inlineStr">
        <is>
          <t xml:space="preserve">Fail</t>
        </is>
      </c>
      <c r="M10" s="5" t="inlineStr">
        <is>
          <t xml:space="preserve">Implementation review: backend/app/Http/Controllers/Api/V1/SellerShopProfileController.php:43. Required behavior in this case is absent or differs. This finding is not a claimed browser execution.</t>
        </is>
      </c>
    </row>
    <row r="11" ht="42.25" customHeight="1">
      <c r="A11" s="7" t="inlineStr">
        <is>
          <t>SEL-PROF-010</t>
        </is>
      </c>
      <c r="B11" s="8" t="inlineStr">
        <is>
          <t>Store Profile &amp; Settings</t>
        </is>
      </c>
      <c r="C11" s="8" t="inlineStr">
        <is>
          <t>Turn off vacation mode</t>
        </is>
      </c>
      <c r="D11" s="8" t="inlineStr">
        <is>
          <t>State Transition</t>
        </is>
      </c>
      <c r="E11" s="8" t="inlineStr">
        <is>
          <t>Medium</t>
        </is>
      </c>
      <c r="F11" s="8" t="inlineStr">
        <is>
          <t>Logged in as Seller 1 (Approved). Vacation mode is on. Buyer 1 has P-02 in the cart.</t>
        </is>
      </c>
      <c r="G11" s="8" t="inlineStr">
        <is>
          <t>1. Turn off vacation mode and save.
2. As Buyer 1, refresh P-02.
3. Check out the cart item by COD.</t>
        </is>
      </c>
      <c r="H11" s="8" t="inlineStr">
        <is>
          <t>Product: P-02</t>
        </is>
      </c>
      <c r="I11" s="8" t="inlineStr">
        <is>
          <t>The 'On vacation' label is gone, Add to Cart and Buy Now are enabled, and the order is placed normally.</t>
        </is>
      </c>
      <c r="J11" s="8" t="inlineStr">
        <is>
          <t>A18</t>
        </is>
      </c>
      <c r="K11" s="5" t="inlineStr">
        <is>
          <t xml:space="preserve">Could not complete turn off vacation mode: vacation mode cannot first be enabled, so the required On vacation starting state cannot be reached.</t>
        </is>
      </c>
      <c r="L11" s="5" t="inlineStr">
        <is>
          <t xml:space="preserve">Blocked</t>
        </is>
      </c>
      <c r="M11" s="5" t="inlineStr">
        <is>
          <t xml:space="preserve">Blocked prerequisite: SEL-PROF-009. The required setup/action was unavailable, so the dependent expected result was not verified. Evidence reviewed from the existing runtime/implementation findings; this status review did not rerun the system.</t>
        </is>
      </c>
    </row>
    <row r="12" ht="67.75" customHeight="1">
      <c r="A12" s="7" t="inlineStr">
        <is>
          <t>SEL-PROF-011</t>
        </is>
      </c>
      <c r="B12" s="8" t="inlineStr">
        <is>
          <t>Store Profile &amp; Settings</t>
        </is>
      </c>
      <c r="C12" s="8" t="inlineStr">
        <is>
          <t>Seller that is not Approved tries to publish</t>
        </is>
      </c>
      <c r="D12" s="8" t="inlineStr">
        <is>
          <t>State Transition</t>
        </is>
      </c>
      <c r="E12" s="8" t="inlineStr">
        <is>
          <t>High</t>
        </is>
      </c>
      <c r="F12" s="8" t="inlineStr">
        <is>
          <t>Logged in as Seller 3 (Pending Approval).</t>
        </is>
      </c>
      <c r="G12" s="8" t="inlineStr">
        <is>
          <t>1. Add a product with all valid data.
2. Click Publish.
3. Click Save as Draft.
4. As Buyer 1, search for the product name.</t>
        </is>
      </c>
      <c r="H12" s="8" t="inlineStr">
        <is>
          <t>Product: Handwoven Coin Purse, ₱120.00, stock 10, 0.1 kg, product_front.jpg</t>
        </is>
      </c>
      <c r="I12" s="8" t="inlineStr">
        <is>
          <t>Publish is disabled or blocked with a message that the store must be approved first. Save as Draft succeeds and the product shows as Draft. The product does not appear anywhere on the buyer side.</t>
        </is>
      </c>
      <c r="J12" s="8" t="inlineStr">
        <is>
          <t>A1, A18</t>
        </is>
      </c>
      <c r="K12" s="5" t="inlineStr">
        <is>
          <t xml:space="preserve">Pending Seller 3 saving a draft returned HTTP 403; {"message":"Seller account not approved."}. The case requires publish to be denied but Save as Draft to succeed; approval middleware blocks both.</t>
        </is>
      </c>
      <c r="L12" s="5" t="inlineStr">
        <is>
          <t xml:space="preserve">Fail</t>
        </is>
      </c>
      <c r="M12" s="5" t="inlineStr">
        <is>
          <t xml:space="preserve">Tested through the local system API on isolated velure_blackbox; judged against the workbook expected result.</t>
        </is>
      </c>
    </row>
    <row r="13" ht="55" customHeight="1">
      <c r="A13" s="7" t="inlineStr">
        <is>
          <t>SEL-PROF-012</t>
        </is>
      </c>
      <c r="B13" s="8" t="inlineStr">
        <is>
          <t>Store Profile &amp; Settings</t>
        </is>
      </c>
      <c r="C13" s="8" t="inlineStr">
        <is>
          <t>Script and HTML in text fields</t>
        </is>
      </c>
      <c r="D13" s="8" t="inlineStr">
        <is>
          <t>Error Guessing</t>
        </is>
      </c>
      <c r="E13" s="8" t="inlineStr">
        <is>
          <t>High</t>
        </is>
      </c>
      <c r="F13" s="8" t="inlineStr">
        <is>
          <t>Logged in as Seller 1 (Approved). Store Settings page is open.</t>
        </is>
      </c>
      <c r="G13" s="8" t="inlineStr">
        <is>
          <t>1. Enter the test data in Description.
2. Save and open the store page as Buyer 1.
3. Open the browser console.</t>
        </is>
      </c>
      <c r="H13" s="8" t="inlineStr">
        <is>
          <t>&lt;b&gt;Sale!&lt;/b&gt;&lt;script&gt;alert('x')&lt;/script&gt;
"&gt;&lt;img src=x onerror=alert(1)&gt;</t>
        </is>
      </c>
      <c r="I13" s="8" t="inlineStr">
        <is>
          <t>The text is shown literally or with the tags removed. No pop-up appears, no image error triggers a script, and the console shows no script execution.</t>
        </is>
      </c>
      <c r="J13" s="8" t="inlineStr">
        <is>
          <t>A25</t>
        </is>
      </c>
      <c r="K13" s="5" t="inlineStr">
        <is>
          <t xml:space="preserve">Injected script/HTML in shop text fields; Edge alert count 0; rendered text includes literal script tag true.</t>
        </is>
      </c>
      <c r="L13" s="5" t="inlineStr">
        <is>
          <t xml:space="preserve">Pass</t>
        </is>
      </c>
      <c r="M13" s="5" t="inlineStr">
        <is>
          <t xml:space="preserve">Shop description/bio use escaped text rendering; public shop loaded after save.</t>
        </is>
      </c>
    </row>
    <row r="14" ht="55" customHeight="1">
      <c r="A14" s="7" t="inlineStr">
        <is>
          <t>SEL-PROF-013</t>
        </is>
      </c>
      <c r="B14" s="8" t="inlineStr">
        <is>
          <t>Store Profile &amp; Settings</t>
        </is>
      </c>
      <c r="C14" s="8" t="inlineStr">
        <is>
          <t>Seller cannot edit another store's settings</t>
        </is>
      </c>
      <c r="D14" s="8" t="inlineStr">
        <is>
          <t>Error Guessing</t>
        </is>
      </c>
      <c r="E14" s="8" t="inlineStr">
        <is>
          <t>High</t>
        </is>
      </c>
      <c r="F14" s="8" t="inlineStr">
        <is>
          <t>Logged in as Seller 1 (Approved).</t>
        </is>
      </c>
      <c r="G14" s="8" t="inlineStr">
        <is>
          <t>1. Open Store Settings and note the store ID in the URL or request.
2. Change it to Seller 2's store ID and reload or resend the save request.</t>
        </is>
      </c>
      <c r="H14" s="8" t="inlineStr">
        <is>
          <t>Seller 2's store ID</t>
        </is>
      </c>
      <c r="I14" s="8" t="inlineStr">
        <is>
          <t>Access is denied (403, not found, or redirect). No Seller 2 data is shown and nothing about Seller 2's store changes.</t>
        </is>
      </c>
      <c r="J14" s="8" t="inlineStr">
        <is>
          <t>A22</t>
        </is>
      </c>
      <c r="K14" s="5" t="inlineStr">
        <is>
          <t xml:space="preserve">Foreign-id settings URL 404; injected seller_id POST 200, but Seller 2 bio unchanged true. Endpoint updates only token owner profile.</t>
        </is>
      </c>
      <c r="L14" s="5" t="inlineStr">
        <is>
          <t xml:space="preserve">Pass</t>
        </is>
      </c>
      <c r="M14" s="5" t="inlineStr">
        <is>
          <t xml:space="preserve">Provided target ID is ignored; route does not expose an editable foreign resource.</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SEL-SCAT-001</t>
        </is>
      </c>
      <c r="B2" s="8" t="inlineStr">
        <is>
          <t>Store Categories</t>
        </is>
      </c>
      <c r="C2" s="8" t="inlineStr">
        <is>
          <t>Create a store category and assign a product</t>
        </is>
      </c>
      <c r="D2" s="8" t="inlineStr">
        <is>
          <t>Use Case Testing</t>
        </is>
      </c>
      <c r="E2" s="8" t="inlineStr">
        <is>
          <t>High</t>
        </is>
      </c>
      <c r="F2" s="8" t="inlineStr">
        <is>
          <t>Logged in as Seller 1 (Approved). Store Categories page is open.</t>
        </is>
      </c>
      <c r="G2" s="8" t="inlineStr">
        <is>
          <t>1. Click Add Category, enter the name and save.
2. Edit P-01 and add the new category.
3. As Buyer 1, open Seller 1's store page and click the new category.</t>
        </is>
      </c>
      <c r="H2" s="8" t="inlineStr">
        <is>
          <t>Category: Pasalubong Picks
Product: P-01</t>
        </is>
      </c>
      <c r="I2" s="8" t="inlineStr">
        <is>
          <t>The category is listed in Store Categories with 1 product. On the store page it appears and shows P-01 only.</t>
        </is>
      </c>
      <c r="J2" s="8" t="inlineStr">
        <is>
          <t>A7</t>
        </is>
      </c>
      <c r="K2" s="5" t="inlineStr">
        <is>
          <t xml:space="preserve">Seller settings offer one shop category/line of business, not a hierarchy of product categories within a store. Creating, assigning, nesting, hiding or reordering the store categories required by this case is unavailable.</t>
        </is>
      </c>
      <c r="L2" s="5" t="inlineStr">
        <is>
          <t xml:space="preserve">Fail</t>
        </is>
      </c>
      <c r="M2" s="5" t="inlineStr">
        <is>
          <t xml:space="preserve">Implementation review: backend/routes/api.php:344. Required behavior in this case is absent or differs. This finding is not a claimed browser execution.</t>
        </is>
      </c>
    </row>
    <row r="3" ht="67.75" customHeight="1">
      <c r="A3" s="7" t="inlineStr">
        <is>
          <t>SEL-SCAT-002</t>
        </is>
      </c>
      <c r="B3" s="8" t="inlineStr">
        <is>
          <t>Store Categories</t>
        </is>
      </c>
      <c r="C3" s="8" t="inlineStr">
        <is>
          <t>Empty, spaces-only and over-length names</t>
        </is>
      </c>
      <c r="D3" s="8" t="inlineStr">
        <is>
          <t>Boundary Value Analysis</t>
        </is>
      </c>
      <c r="E3" s="8" t="inlineStr">
        <is>
          <t>High</t>
        </is>
      </c>
      <c r="F3" s="8" t="inlineStr">
        <is>
          <t>Logged in as Seller 1 (Approved). Store Categories page is open.</t>
        </is>
      </c>
      <c r="G3" s="8" t="inlineStr">
        <is>
          <t>1. Try to save a category with each name, one per attempt.
2. Refresh the list after each attempt.</t>
        </is>
      </c>
      <c r="H3" s="8" t="inlineStr">
        <is>
          <t>Empty (reject)
'   ' spaces only (reject)
1 character: B (accept)
50 characters (accept)
51 characters (reject)</t>
        </is>
      </c>
      <c r="I3" s="8" t="inlineStr">
        <is>
          <t>Empty, spaces-only and 51-character names are blocked with a message. 1 and 50 characters are saved exactly. After refresh no blank or over-length category exists.</t>
        </is>
      </c>
      <c r="J3" s="8" t="inlineStr">
        <is>
          <t>A25</t>
        </is>
      </c>
      <c r="K3" s="5" t="inlineStr">
        <is>
          <t xml:space="preserve">Could not complete empty, spaces-only and over-length names: the store-category editor/records are absent. The named category or category-edit input required by this case cannot be created or opened.</t>
        </is>
      </c>
      <c r="L3" s="5" t="inlineStr">
        <is>
          <t xml:space="preserve">Blocked</t>
        </is>
      </c>
      <c r="M3"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4" ht="42.25" customHeight="1">
      <c r="A4" s="7" t="inlineStr">
        <is>
          <t>SEL-SCAT-003</t>
        </is>
      </c>
      <c r="B4" s="8" t="inlineStr">
        <is>
          <t>Store Categories</t>
        </is>
      </c>
      <c r="C4" s="8" t="inlineStr">
        <is>
          <t>Duplicate category name in the same store</t>
        </is>
      </c>
      <c r="D4" s="8" t="inlineStr">
        <is>
          <t>Equivalence Partitioning</t>
        </is>
      </c>
      <c r="E4" s="8" t="inlineStr">
        <is>
          <t>High</t>
        </is>
      </c>
      <c r="F4" s="8" t="inlineStr">
        <is>
          <t>Logged in as Seller 1 (Approved). CAT-1 Bags exists.</t>
        </is>
      </c>
      <c r="G4" s="8" t="inlineStr">
        <is>
          <t>1. Create a category with each name, one per attempt.</t>
        </is>
      </c>
      <c r="H4" s="8" t="inlineStr">
        <is>
          <t>Bags
BAGS
'  Bags  '</t>
        </is>
      </c>
      <c r="I4" s="8" t="inlineStr">
        <is>
          <t>All three are blocked with a message that the category already exists. Only one Bags category exists after refresh.</t>
        </is>
      </c>
      <c r="J4" s="8" t="inlineStr">
        <is>
          <t>A25</t>
        </is>
      </c>
      <c r="K4" s="5" t="inlineStr">
        <is>
          <t xml:space="preserve">Could not complete duplicate category name in the same store: the store-category editor/records are absent. The named category or category-edit input required by this case cannot be created or opened.</t>
        </is>
      </c>
      <c r="L4" s="5" t="inlineStr">
        <is>
          <t xml:space="preserve">Blocked</t>
        </is>
      </c>
      <c r="M4"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5" ht="42.25" customHeight="1">
      <c r="A5" s="7" t="inlineStr">
        <is>
          <t>SEL-SCAT-004</t>
        </is>
      </c>
      <c r="B5" s="8" t="inlineStr">
        <is>
          <t>Store Categories</t>
        </is>
      </c>
      <c r="C5" s="8" t="inlineStr">
        <is>
          <t>Same category name in a different store</t>
        </is>
      </c>
      <c r="D5" s="8" t="inlineStr">
        <is>
          <t>Equivalence Partitioning</t>
        </is>
      </c>
      <c r="E5" s="8" t="inlineStr">
        <is>
          <t>Low</t>
        </is>
      </c>
      <c r="F5" s="8" t="inlineStr">
        <is>
          <t>Logged in as Seller 2.</t>
        </is>
      </c>
      <c r="G5" s="8" t="inlineStr">
        <is>
          <t>1. Create a category named Bags.
2. Log in as Seller 1 and check Seller 1's categories.</t>
        </is>
      </c>
      <c r="H5" s="8" t="inlineStr">
        <is>
          <t>Category: Bags</t>
        </is>
      </c>
      <c r="I5" s="8" t="inlineStr">
        <is>
          <t>Seller 2's Bags is created. Seller 1's categories are unchanged (store categories are unique per store only).</t>
        </is>
      </c>
      <c r="J5" s="8" t="inlineStr"/>
      <c r="K5" s="5" t="inlineStr">
        <is>
          <t xml:space="preserve">Could not complete same category name in a different store: the store-category editor/records are absent. The named category or category-edit input required by this case cannot be created or opened.</t>
        </is>
      </c>
      <c r="L5" s="5" t="inlineStr">
        <is>
          <t xml:space="preserve">Blocked</t>
        </is>
      </c>
      <c r="M5"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6" ht="42.25" customHeight="1">
      <c r="A6" s="7" t="inlineStr">
        <is>
          <t>SEL-SCAT-005</t>
        </is>
      </c>
      <c r="B6" s="8" t="inlineStr">
        <is>
          <t>Store Categories</t>
        </is>
      </c>
      <c r="C6" s="8" t="inlineStr">
        <is>
          <t>Rename a category to a duplicate name</t>
        </is>
      </c>
      <c r="D6" s="8" t="inlineStr">
        <is>
          <t>Equivalence Partitioning</t>
        </is>
      </c>
      <c r="E6" s="8" t="inlineStr">
        <is>
          <t>Medium</t>
        </is>
      </c>
      <c r="F6" s="8" t="inlineStr">
        <is>
          <t>Logged in as Seller 1 (Approved). CAT-1 Bags and CAT-5 Kitchen &amp; Dining exist.</t>
        </is>
      </c>
      <c r="G6" s="8" t="inlineStr">
        <is>
          <t>1. Rename Kitchen &amp; Dining to 'bags'.</t>
        </is>
      </c>
      <c r="H6" s="8" t="inlineStr">
        <is>
          <t>New name: bags</t>
        </is>
      </c>
      <c r="I6" s="8" t="inlineStr">
        <is>
          <t>Blocked with the duplicate-name message. CAT-5 keeps its old name.</t>
        </is>
      </c>
      <c r="J6" s="8" t="inlineStr">
        <is>
          <t>A25</t>
        </is>
      </c>
      <c r="K6" s="5" t="inlineStr">
        <is>
          <t xml:space="preserve">Could not complete rename a category to a duplicate name: the store-category editor/records are absent. The named category or category-edit input required by this case cannot be created or opened.</t>
        </is>
      </c>
      <c r="L6" s="5" t="inlineStr">
        <is>
          <t xml:space="preserve">Blocked</t>
        </is>
      </c>
      <c r="M6"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7" ht="80.5" customHeight="1">
      <c r="A7" s="7" t="inlineStr">
        <is>
          <t>SEL-SCAT-006</t>
        </is>
      </c>
      <c r="B7" s="8" t="inlineStr">
        <is>
          <t>Store Categories</t>
        </is>
      </c>
      <c r="C7" s="8" t="inlineStr">
        <is>
          <t>Rename and reorder categories</t>
        </is>
      </c>
      <c r="D7" s="8" t="inlineStr">
        <is>
          <t>Use Case Testing</t>
        </is>
      </c>
      <c r="E7" s="8" t="inlineStr">
        <is>
          <t>Medium</t>
        </is>
      </c>
      <c r="F7" s="8" t="inlineStr">
        <is>
          <t>Logged in as Seller 1 (Approved).</t>
        </is>
      </c>
      <c r="G7" s="8" t="inlineStr">
        <is>
          <t>1. Rename CAT-5 Kitchen &amp; Dining to Kitchen.
2. Move Kitchen to the top of the list and save.
3. Refresh, then open the store page as Buyer 1.</t>
        </is>
      </c>
      <c r="H7" s="8" t="inlineStr">
        <is>
          <t>CAT-5</t>
        </is>
      </c>
      <c r="I7" s="8" t="inlineStr">
        <is>
          <t>After refresh and on the store page, Kitchen is first and uses the new name. P-04 is still in it. No other category changed position except as moved.</t>
        </is>
      </c>
      <c r="J7" s="8" t="inlineStr"/>
      <c r="K7" s="5" t="inlineStr">
        <is>
          <t xml:space="preserve">Could not complete rename and reorder categories: the store-category editor/records are absent. The named category or category-edit input required by this case cannot be created or opened.</t>
        </is>
      </c>
      <c r="L7" s="5" t="inlineStr">
        <is>
          <t xml:space="preserve">Blocked</t>
        </is>
      </c>
      <c r="M7"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8" ht="67.75" customHeight="1">
      <c r="A8" s="7" t="inlineStr">
        <is>
          <t>SEL-SCAT-007</t>
        </is>
      </c>
      <c r="B8" s="8" t="inlineStr">
        <is>
          <t>Store Categories</t>
        </is>
      </c>
      <c r="C8" s="8" t="inlineStr">
        <is>
          <t>Hide a category</t>
        </is>
      </c>
      <c r="D8" s="8" t="inlineStr">
        <is>
          <t>State Transition</t>
        </is>
      </c>
      <c r="E8" s="8" t="inlineStr">
        <is>
          <t>High</t>
        </is>
      </c>
      <c r="F8" s="8" t="inlineStr">
        <is>
          <t>Logged in as Seller 1 (Approved). CAT-1 Bags contains P-01.</t>
        </is>
      </c>
      <c r="G8" s="8" t="inlineStr">
        <is>
          <t>1. Hide CAT-1.
2. As Buyer 1, open the store page.
3. Open the old Bags category URL directly.
4. Search for 'Abaca Tote'.</t>
        </is>
      </c>
      <c r="H8" s="8" t="inlineStr">
        <is>
          <t>CAT-1 Bags, P-01</t>
        </is>
      </c>
      <c r="I8" s="8" t="inlineStr">
        <is>
          <t>Bags is not shown on the store page and its direct URL shows 'not found' or redirects to the store page. P-01 is still found by search and its product page works (only the category is hidden).</t>
        </is>
      </c>
      <c r="J8" s="8" t="inlineStr"/>
      <c r="K8" s="5" t="inlineStr">
        <is>
          <t xml:space="preserve">Could not complete hide a category: the store-category editor/records are absent. The named category or category-edit input required by this case cannot be created or opened.</t>
        </is>
      </c>
      <c r="L8" s="5" t="inlineStr">
        <is>
          <t xml:space="preserve">Blocked</t>
        </is>
      </c>
      <c r="M8"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9" ht="29.5" customHeight="1">
      <c r="A9" s="7" t="inlineStr">
        <is>
          <t>SEL-SCAT-008</t>
        </is>
      </c>
      <c r="B9" s="8" t="inlineStr">
        <is>
          <t>Store Categories</t>
        </is>
      </c>
      <c r="C9" s="8" t="inlineStr">
        <is>
          <t>Show a hidden category</t>
        </is>
      </c>
      <c r="D9" s="8" t="inlineStr">
        <is>
          <t>State Transition</t>
        </is>
      </c>
      <c r="E9" s="8" t="inlineStr">
        <is>
          <t>Low</t>
        </is>
      </c>
      <c r="F9" s="8" t="inlineStr">
        <is>
          <t>Logged in as Seller 1 (Approved). CAT-1 is hidden.</t>
        </is>
      </c>
      <c r="G9" s="8" t="inlineStr">
        <is>
          <t>1. Show CAT-1.
2. Open the store page as Buyer 1.</t>
        </is>
      </c>
      <c r="H9" s="8" t="inlineStr">
        <is>
          <t>CAT-1</t>
        </is>
      </c>
      <c r="I9" s="8" t="inlineStr">
        <is>
          <t>Bags appears again in its previous position with P-01 in it.</t>
        </is>
      </c>
      <c r="J9" s="8" t="inlineStr"/>
      <c r="K9" s="5" t="inlineStr">
        <is>
          <t xml:space="preserve">Could not complete show a hidden category: the store-category editor/records are absent. The named category or category-edit input required by this case cannot be created or opened.</t>
        </is>
      </c>
      <c r="L9" s="5" t="inlineStr">
        <is>
          <t xml:space="preserve">Blocked</t>
        </is>
      </c>
      <c r="M9"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10" ht="93.25" customHeight="1">
      <c r="A10" s="7" t="inlineStr">
        <is>
          <t>SEL-SCAT-009</t>
        </is>
      </c>
      <c r="B10" s="8" t="inlineStr">
        <is>
          <t>Store Categories</t>
        </is>
      </c>
      <c r="C10" s="8" t="inlineStr">
        <is>
          <t>Delete a category that still has products</t>
        </is>
      </c>
      <c r="D10" s="8" t="inlineStr">
        <is>
          <t>State Transition</t>
        </is>
      </c>
      <c r="E10" s="8" t="inlineStr">
        <is>
          <t>High</t>
        </is>
      </c>
      <c r="F10" s="8" t="inlineStr">
        <is>
          <t>Logged in as Seller 1 (Approved). CAT-4 Baskets contains P-02 only.</t>
        </is>
      </c>
      <c r="G10" s="8" t="inlineStr">
        <is>
          <t>1. Click Delete on CAT-4.
2. Read the warning and click Cancel. Check that CAT-4 still exists.
3. Click Delete again and confirm.
4. Open P-02 in Product Management.
5. As Buyer 1, open P-02 and the store page.</t>
        </is>
      </c>
      <c r="H10" s="8" t="inlineStr">
        <is>
          <t>CAT-4 Baskets, P-02</t>
        </is>
      </c>
      <c r="I10" s="8" t="inlineStr">
        <is>
          <t>The warning states that 1 product will move to Uncategorized. Cancel leaves everything unchanged. After confirming, CAT-4 is gone, P-02's store category is Uncategorized, and P-02 is still Active and buyable. P-02 is never deleted or hidden.</t>
        </is>
      </c>
      <c r="J10" s="8" t="inlineStr">
        <is>
          <t>A19</t>
        </is>
      </c>
      <c r="K10" s="5" t="inlineStr">
        <is>
          <t xml:space="preserve">Could not complete delete a category that still has products: the store-category editor/records are absent. The named category or category-edit input required by this case cannot be created or opened.</t>
        </is>
      </c>
      <c r="L10" s="5" t="inlineStr">
        <is>
          <t xml:space="preserve">Blocked</t>
        </is>
      </c>
      <c r="M10"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11" ht="67.75" customHeight="1">
      <c r="A11" s="7" t="inlineStr">
        <is>
          <t>SEL-SCAT-010</t>
        </is>
      </c>
      <c r="B11" s="8" t="inlineStr">
        <is>
          <t>Store Categories</t>
        </is>
      </c>
      <c r="C11" s="8" t="inlineStr">
        <is>
          <t>Delete a parent category with subcategories</t>
        </is>
      </c>
      <c r="D11" s="8" t="inlineStr">
        <is>
          <t>State Transition</t>
        </is>
      </c>
      <c r="E11" s="8" t="inlineStr">
        <is>
          <t>Medium</t>
        </is>
      </c>
      <c r="F11" s="8" t="inlineStr">
        <is>
          <t>Logged in as Seller 1 (Approved). CAT-2 Home Decor has subcategories Lamps (P-03) and Baskets (P-02).</t>
        </is>
      </c>
      <c r="G11" s="8" t="inlineStr">
        <is>
          <t>1. Delete CAT-2 and confirm.</t>
        </is>
      </c>
      <c r="H11" s="8" t="inlineStr">
        <is>
          <t>CAT-2</t>
        </is>
      </c>
      <c r="I11" s="8" t="inlineStr">
        <is>
          <t>The warning lists both subcategories and the 2 products affected. After confirming, Home Decor, Lamps and Baskets are all gone, and P-02 and P-03 are in Uncategorized, still Active. No product is deleted.</t>
        </is>
      </c>
      <c r="J11" s="8" t="inlineStr">
        <is>
          <t>A19</t>
        </is>
      </c>
      <c r="K11" s="5" t="inlineStr">
        <is>
          <t xml:space="preserve">Could not complete delete a parent category with subcategories: the store-category editor/records are absent. The named category or category-edit input required by this case cannot be created or opened.</t>
        </is>
      </c>
      <c r="L11" s="5" t="inlineStr">
        <is>
          <t xml:space="preserve">Blocked</t>
        </is>
      </c>
      <c r="M11"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12" ht="55" customHeight="1">
      <c r="A12" s="7" t="inlineStr">
        <is>
          <t>SEL-SCAT-011</t>
        </is>
      </c>
      <c r="B12" s="8" t="inlineStr">
        <is>
          <t>Store Categories</t>
        </is>
      </c>
      <c r="C12" s="8" t="inlineStr">
        <is>
          <t>Subcategory nesting at the depth limit</t>
        </is>
      </c>
      <c r="D12" s="8" t="inlineStr">
        <is>
          <t>Boundary Value Analysis</t>
        </is>
      </c>
      <c r="E12" s="8" t="inlineStr">
        <is>
          <t>Medium</t>
        </is>
      </c>
      <c r="F12" s="8" t="inlineStr">
        <is>
          <t>Logged in as Seller 1 (Approved). CAT-2 Home Decor &gt; CAT-3 Lamps exists.</t>
        </is>
      </c>
      <c r="G12" s="8" t="inlineStr">
        <is>
          <t>1. Create Wall Decor under Home Decor (level 2).
2. Try to create Table Lamps under Lamps (level 3).</t>
        </is>
      </c>
      <c r="H12" s="8" t="inlineStr">
        <is>
          <t>Level 2: Wall Decor (accept)
Level 3: Table Lamps (reject)</t>
        </is>
      </c>
      <c r="I12" s="8" t="inlineStr">
        <is>
          <t>Wall Decor is created at level 2. Lamps is not offered as a parent, or the save is blocked with a depth message. No level-3 category exists after refresh.</t>
        </is>
      </c>
      <c r="J12" s="8" t="inlineStr">
        <is>
          <t>A7</t>
        </is>
      </c>
      <c r="K12" s="5" t="inlineStr">
        <is>
          <t xml:space="preserve">Could not complete subcategory nesting at the depth limit: the store-category editor/records are absent. The named category or category-edit input required by this case cannot be created or opened.</t>
        </is>
      </c>
      <c r="L12" s="5" t="inlineStr">
        <is>
          <t xml:space="preserve">Blocked</t>
        </is>
      </c>
      <c r="M12"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13" ht="80.5" customHeight="1">
      <c r="A13" s="7" t="inlineStr">
        <is>
          <t>SEL-SCAT-012</t>
        </is>
      </c>
      <c r="B13" s="8" t="inlineStr">
        <is>
          <t>Store Categories</t>
        </is>
      </c>
      <c r="C13" s="8" t="inlineStr">
        <is>
          <t>Product in several store categories at the limit</t>
        </is>
      </c>
      <c r="D13" s="8" t="inlineStr">
        <is>
          <t>Boundary Value Analysis</t>
        </is>
      </c>
      <c r="E13" s="8" t="inlineStr">
        <is>
          <t>Medium</t>
        </is>
      </c>
      <c r="F13" s="8" t="inlineStr">
        <is>
          <t>Logged in as Seller 1 (Approved).</t>
        </is>
      </c>
      <c r="G13" s="8" t="inlineStr">
        <is>
          <t>1. Assign P-03 to Lamps, Best Sellers and Gift Ideas (3).
2. Try to add a 4th category, New Arrivals.
3. Open each category on the store page as Buyer 1.</t>
        </is>
      </c>
      <c r="H13" s="8" t="inlineStr">
        <is>
          <t>P-03 Capiz Shell Lamp</t>
        </is>
      </c>
      <c r="I13" s="8" t="inlineStr">
        <is>
          <t>3 categories are accepted and P-03 shows exactly once in each. The 4th is blocked with a limit message.</t>
        </is>
      </c>
      <c r="J13" s="8" t="inlineStr">
        <is>
          <t>A7</t>
        </is>
      </c>
      <c r="K13" s="5" t="inlineStr">
        <is>
          <t xml:space="preserve">Could not complete product in several store categories at the limit: the store-category editor/records are absent. The named category or category-edit input required by this case cannot be created or opened.</t>
        </is>
      </c>
      <c r="L13" s="5" t="inlineStr">
        <is>
          <t xml:space="preserve">Blocked</t>
        </is>
      </c>
      <c r="M13"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row r="14" ht="93.25" customHeight="1">
      <c r="A14" s="7" t="inlineStr">
        <is>
          <t>SEL-SCAT-013</t>
        </is>
      </c>
      <c r="B14" s="8" t="inlineStr">
        <is>
          <t>Store Categories</t>
        </is>
      </c>
      <c r="C14" s="8" t="inlineStr">
        <is>
          <t>Store category is separate from platform category</t>
        </is>
      </c>
      <c r="D14" s="8" t="inlineStr">
        <is>
          <t>Equivalence Partitioning</t>
        </is>
      </c>
      <c r="E14" s="8" t="inlineStr">
        <is>
          <t>Medium</t>
        </is>
      </c>
      <c r="F14" s="8" t="inlineStr">
        <is>
          <t>Logged in as Seller 1 (Approved).</t>
        </is>
      </c>
      <c r="G14" s="8" t="inlineStr">
        <is>
          <t>1. Edit P-01: change the store category to Kitchen &amp; Dining; leave the platform category as Women's Bags.
2. As Buyer 1, browse the platform category Women's Bags.
3. Open Seller 1's store page, Kitchen &amp; Dining.</t>
        </is>
      </c>
      <c r="H14" s="8" t="inlineStr">
        <is>
          <t>P-01</t>
        </is>
      </c>
      <c r="I14" s="8" t="inlineStr">
        <is>
          <t>P-01 still appears under the platform category Women's Bags and now under the store's Kitchen &amp; Dining. Changing the store category did not change the platform category, and sellers cannot create or rename platform categories.</t>
        </is>
      </c>
      <c r="J14" s="8" t="inlineStr"/>
      <c r="K14" s="5" t="inlineStr">
        <is>
          <t xml:space="preserve">Could not complete store category is separate from platform category: the store-category editor/records are absent. The named category or category-edit input required by this case cannot be created or opened.</t>
        </is>
      </c>
      <c r="L14" s="5" t="inlineStr">
        <is>
          <t xml:space="preserve">Blocked</t>
        </is>
      </c>
      <c r="M14" s="5" t="inlineStr">
        <is>
          <t xml:space="preserve">Blocked prerequisite: SEL-SCAT-001. The required setup/action was unavailable, so the dependent expected result was not verified. Evidence reviewed from the existing runtime/implementation findings; this status review did not rerun the system.</t>
        </is>
      </c>
    </row>
  </sheetData>
  <autoFilter ref="A1:M14"/>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69.75" customHeight="1">
      <c r="A2" s="7" t="inlineStr">
        <is>
          <t>SEL-PROD-001</t>
        </is>
      </c>
      <c r="B2" s="8" t="inlineStr">
        <is>
          <t>Product Management</t>
        </is>
      </c>
      <c r="C2" s="8" t="inlineStr">
        <is>
          <t>Add and publish a product with all valid data</t>
        </is>
      </c>
      <c r="D2" s="8" t="inlineStr">
        <is>
          <t>Use Case Testing</t>
        </is>
      </c>
      <c r="E2" s="8" t="inlineStr">
        <is>
          <t>High</t>
        </is>
      </c>
      <c r="F2" s="8" t="inlineStr">
        <is>
          <t>Logged in as Seller 1 (Approved). Add Product page is open.</t>
        </is>
      </c>
      <c r="G2" s="8" t="inlineStr">
        <is>
          <t>1. Fill in every field with the test data and upload 2 images.
2. Click Publish.
3. Refresh the product list.
4. As Buyer 1, search for the name, open the platform category and the store page.</t>
        </is>
      </c>
      <c r="H2" s="8" t="inlineStr">
        <is>
          <t>Name: Buri Placemat Set
Description: Set of 6 placemats, handwoven buri palm.
Images: product_front.jpg, product_side.png
Platform category: Home &amp; Living
Store category: Kitchen &amp; Dining
Brand: No brand
Condition: New
Price: ₱299.00
Stock: 30
Weight: 0.6 kg
Size: 35 × 25 × 3 cm</t>
        </is>
      </c>
      <c r="I2" s="8" t="inlineStr">
        <is>
          <t>The product is saved as Active with exactly these values. Buyers find it in search, in Home &amp; Living and in the store's Kitchen &amp; Dining, showing ₱299.00 and 30 in stock. Images appear in the uploaded order.</t>
        </is>
      </c>
      <c r="J2" s="8" t="inlineStr">
        <is>
          <t>A16, A17, A25</t>
        </is>
      </c>
      <c r="K2" s="5" t="inlineStr">
        <is>
          <t xml:space="preserve">A seller submits a product as pending_review for admin approval, not directly Active; store category assignment is also unavailable. The complete immediate-publication expectation in this case is not met.</t>
        </is>
      </c>
      <c r="L2" s="5" t="inlineStr">
        <is>
          <t xml:space="preserve">Fail</t>
        </is>
      </c>
      <c r="M2" s="5" t="inlineStr">
        <is>
          <t xml:space="preserve">Implementation review: backend/app/Http/Controllers/Api/V1/SellerProductController.php:167. Required behavior in this case is absent or differs. This finding is not a claimed browser execution.</t>
        </is>
      </c>
    </row>
    <row r="3" ht="55" customHeight="1">
      <c r="A3" s="7" t="inlineStr">
        <is>
          <t>SEL-PROD-002</t>
        </is>
      </c>
      <c r="B3" s="8" t="inlineStr">
        <is>
          <t>Product Management</t>
        </is>
      </c>
      <c r="C3" s="8" t="inlineStr">
        <is>
          <t>Each required field left blank</t>
        </is>
      </c>
      <c r="D3" s="8" t="inlineStr">
        <is>
          <t>Equivalence Partitioning</t>
        </is>
      </c>
      <c r="E3" s="8" t="inlineStr">
        <is>
          <t>High</t>
        </is>
      </c>
      <c r="F3" s="8" t="inlineStr">
        <is>
          <t>Logged in as Seller 1 (Approved). Add Product page is open.</t>
        </is>
      </c>
      <c r="G3" s="8" t="inlineStr">
        <is>
          <t>1. Fill in all fields with valid data.
2. Clear one required field and click Publish.
3. Repeat for each field in the test data.</t>
        </is>
      </c>
      <c r="H3" s="8" t="inlineStr">
        <is>
          <t>Clear in turn: Name, Description, Images, Platform category, Price, Stock, Weight</t>
        </is>
      </c>
      <c r="I3" s="8" t="inlineStr">
        <is>
          <t>Each attempt is blocked and a required-field message is shown on that field only. The other entered values (including uploaded images) are kept on the form. No product is created.</t>
        </is>
      </c>
      <c r="J3" s="8" t="inlineStr"/>
      <c r="K3" s="5" t="inlineStr">
        <is>
          <t xml:space="preserve">Submitting omitted required fields with variants=null returned HTTP 500; application log reports foreach on null at SellerProductController.php:214, rather than required-field errors.</t>
        </is>
      </c>
      <c r="L3" s="5" t="inlineStr">
        <is>
          <t xml:space="preserve">Fail</t>
        </is>
      </c>
      <c r="M3" s="5" t="inlineStr">
        <is>
          <t xml:space="preserve">Runtime evidence retained in full-evidence.json; this is a server error in input handling, not a test-environment blocker.</t>
        </is>
      </c>
    </row>
    <row r="4" ht="106" customHeight="1">
      <c r="A4" s="7" t="inlineStr">
        <is>
          <t>SEL-PROD-003</t>
        </is>
      </c>
      <c r="B4" s="8" t="inlineStr">
        <is>
          <t>Product Management</t>
        </is>
      </c>
      <c r="C4" s="8" t="inlineStr">
        <is>
          <t>Product name and description length</t>
        </is>
      </c>
      <c r="D4" s="8" t="inlineStr">
        <is>
          <t>Boundary Value Analysis</t>
        </is>
      </c>
      <c r="E4" s="8" t="inlineStr">
        <is>
          <t>Medium</t>
        </is>
      </c>
      <c r="F4" s="8" t="inlineStr">
        <is>
          <t>Logged in as Seller 1 (Approved). Add Product page is open.</t>
        </is>
      </c>
      <c r="G4" s="8" t="inlineStr">
        <is>
          <t>1. Enter each value, one per attempt, with all other fields valid.
2. Click Publish.</t>
        </is>
      </c>
      <c r="H4" s="8" t="inlineStr">
        <is>
          <t>Name 4 characters: Tote (reject)
Name 5: Totes (accept)
Name 120 (accept)
Name 121 (reject)
Description 19 characters (reject)
Description 20 (accept)
Description 3,000 (accept)
Description 3,001 (reject)</t>
        </is>
      </c>
      <c r="I4" s="8" t="inlineStr">
        <is>
          <t>Only the 'accept' values publish. Each 'reject' value shows a message with the exact limit.</t>
        </is>
      </c>
      <c r="J4" s="8" t="inlineStr">
        <is>
          <t>A25</t>
        </is>
      </c>
      <c r="K4" s="5" t="inlineStr">
        <is>
          <t xml:space="preserve">Name Tote (4 characters) and description short (5) returned 201; both should fail minimum lengths. Server instead allows name up to 255 and description up to 1,500 visible characters.</t>
        </is>
      </c>
      <c r="L4" s="5" t="inlineStr">
        <is>
          <t xml:space="preserve">Fail</t>
        </is>
      </c>
      <c r="M4" s="5" t="inlineStr">
        <is>
          <t xml:space="preserve">Tested through the local system API on isolated velure_blackbox; judged against the workbook expected result.</t>
        </is>
      </c>
    </row>
    <row r="5" ht="144.25" customHeight="1">
      <c r="A5" s="7" t="inlineStr">
        <is>
          <t>SEL-PROD-004</t>
        </is>
      </c>
      <c r="B5" s="8" t="inlineStr">
        <is>
          <t>Product Management</t>
        </is>
      </c>
      <c r="C5" s="8" t="inlineStr">
        <is>
          <t>Price validation</t>
        </is>
      </c>
      <c r="D5" s="8" t="inlineStr">
        <is>
          <t>Boundary Value Analysis</t>
        </is>
      </c>
      <c r="E5" s="8" t="inlineStr">
        <is>
          <t>High</t>
        </is>
      </c>
      <c r="F5" s="8" t="inlineStr">
        <is>
          <t>Logged in as Seller 1 (Approved). Add Product page is open.</t>
        </is>
      </c>
      <c r="G5" s="8" t="inlineStr">
        <is>
          <t>1. Enter each price, one per attempt, with all other fields valid.
2. Click Publish.</t>
        </is>
      </c>
      <c r="H5" s="8" t="inlineStr">
        <is>
          <t>0 (reject)
-50 (reject)
0.99 (reject)
1.00 (accept)
1.01 (accept)
199.999 (reject: 3 decimals)
999,999.99 (accept)
1,000,000.00 (accept)
1,000,000.01 (reject)
abc (reject)
Empty (reject)</t>
        </is>
      </c>
      <c r="I5" s="8" t="inlineStr">
        <is>
          <t>Only 1.00, 1.01, 999,999.99 and 1,000,000.00 are accepted and saved exactly. Every other value is rejected with a price message and nothing is created. 199.999 is never rounded silently to 200.00.</t>
        </is>
      </c>
      <c r="J5" s="8" t="inlineStr">
        <is>
          <t>A17</t>
        </is>
      </c>
      <c r="K5" s="5" t="inlineStr">
        <is>
          <t xml:space="preserve">Zero-price product submission returned 201; saved base price 0. Required minimum 1.00 was not enforced.</t>
        </is>
      </c>
      <c r="L5" s="5" t="inlineStr">
        <is>
          <t xml:space="preserve">Fail</t>
        </is>
      </c>
      <c r="M5" s="5" t="inlineStr">
        <is>
          <t xml:space="preserve">Tested through the local system API on isolated velure_blackbox; judged against the workbook expected result.</t>
        </is>
      </c>
    </row>
    <row r="6" ht="80.5" customHeight="1">
      <c r="A6" s="7" t="inlineStr">
        <is>
          <t>SEL-PROD-005</t>
        </is>
      </c>
      <c r="B6" s="8" t="inlineStr">
        <is>
          <t>Product Management</t>
        </is>
      </c>
      <c r="C6" s="8" t="inlineStr">
        <is>
          <t>Stock validation</t>
        </is>
      </c>
      <c r="D6" s="8" t="inlineStr">
        <is>
          <t>Boundary Value Analysis</t>
        </is>
      </c>
      <c r="E6" s="8" t="inlineStr">
        <is>
          <t>High</t>
        </is>
      </c>
      <c r="F6" s="8" t="inlineStr">
        <is>
          <t>Logged in as Seller 1 (Approved). Add Product page is open.</t>
        </is>
      </c>
      <c r="G6" s="8" t="inlineStr">
        <is>
          <t>1. Enter each stock value, one per attempt.
2. Click Publish.</t>
        </is>
      </c>
      <c r="H6" s="8" t="inlineStr">
        <is>
          <t>-1 (reject)
0 (accept, product shows Sold out)
1 (accept)
99,999 (accept)
100,000 (reject)
2.5 (reject)</t>
        </is>
      </c>
      <c r="I6" s="8" t="inlineStr">
        <is>
          <t>Only whole numbers 0 to 99,999 are accepted. A product published with 0 stock shows Sold out to buyers.</t>
        </is>
      </c>
      <c r="J6" s="8" t="inlineStr">
        <is>
          <t>A17</t>
        </is>
      </c>
      <c r="K6" s="5" t="inlineStr">
        <is>
          <t xml:space="preserve">Stock 100,000 returned 201; total stock 100000. Required maximum 99,999 was not enforced.</t>
        </is>
      </c>
      <c r="L6" s="5" t="inlineStr">
        <is>
          <t xml:space="preserve">Fail</t>
        </is>
      </c>
      <c r="M6" s="5" t="inlineStr">
        <is>
          <t xml:space="preserve">Tested through the local system API on isolated velure_blackbox; judged against the workbook expected result.</t>
        </is>
      </c>
    </row>
    <row r="7" ht="55" customHeight="1">
      <c r="A7" s="7" t="inlineStr">
        <is>
          <t>SEL-PROD-006</t>
        </is>
      </c>
      <c r="B7" s="8" t="inlineStr">
        <is>
          <t>Product Management</t>
        </is>
      </c>
      <c r="C7" s="8" t="inlineStr">
        <is>
          <t>Image count at the limits</t>
        </is>
      </c>
      <c r="D7" s="8" t="inlineStr">
        <is>
          <t>Boundary Value Analysis</t>
        </is>
      </c>
      <c r="E7" s="8" t="inlineStr">
        <is>
          <t>High</t>
        </is>
      </c>
      <c r="F7" s="8" t="inlineStr">
        <is>
          <t>Logged in as Seller 1 (Approved). Add Product page is open.</t>
        </is>
      </c>
      <c r="G7" s="8" t="inlineStr">
        <is>
          <t>1. Try to publish with 0 images.
2. Publish with 1 image.
3. Edit and add up to 9 images.
4. Try to add a 10th image.</t>
        </is>
      </c>
      <c r="H7" s="8" t="inlineStr">
        <is>
          <t>0 (reject), 1 (accept), 9 (accept), 10 (reject)</t>
        </is>
      </c>
      <c r="I7" s="8" t="inlineStr">
        <is>
          <t>0 images is blocked with a message. 1 and 9 images are saved. The 10th image cannot be added (the upload button is disabled or a limit message appears).</t>
        </is>
      </c>
      <c r="J7" s="8" t="inlineStr">
        <is>
          <t>A16</t>
        </is>
      </c>
      <c r="K7" s="5" t="inlineStr">
        <is>
          <t xml:space="preserve">Submission without any image returned 201; required minimum one image was not enforced.</t>
        </is>
      </c>
      <c r="L7" s="5" t="inlineStr">
        <is>
          <t xml:space="preserve">Fail</t>
        </is>
      </c>
      <c r="M7" s="5" t="inlineStr">
        <is>
          <t xml:space="preserve">Tested through the local system API on isolated velure_blackbox; judged against the workbook expected result.</t>
        </is>
      </c>
    </row>
    <row r="8" ht="55" customHeight="1">
      <c r="A8" s="7" t="inlineStr">
        <is>
          <t>SEL-PROD-007</t>
        </is>
      </c>
      <c r="B8" s="8" t="inlineStr">
        <is>
          <t>Product Management</t>
        </is>
      </c>
      <c r="C8" s="8" t="inlineStr">
        <is>
          <t>Image file type and size</t>
        </is>
      </c>
      <c r="D8" s="8" t="inlineStr">
        <is>
          <t>Boundary Value Analysis</t>
        </is>
      </c>
      <c r="E8" s="8" t="inlineStr">
        <is>
          <t>High</t>
        </is>
      </c>
      <c r="F8" s="8" t="inlineStr">
        <is>
          <t>Logged in as Seller 1 (Approved). Add Product page is open.</t>
        </is>
      </c>
      <c r="G8" s="8" t="inlineStr">
        <is>
          <t>1. Upload each file as a product image, one at a time.</t>
        </is>
      </c>
      <c r="H8" s="8" t="inlineStr">
        <is>
          <t>size_5.0MB.jpg (accept)
size_5.1MB.jpg (reject)
price_list.docx (reject)
renamed_exe.jpg (reject)</t>
        </is>
      </c>
      <c r="I8" s="8" t="inlineStr">
        <is>
          <t>Only the 5.0 MB JPG is accepted. The others are rejected with a message naming JPG/PNG and 5 MB, and are not added to the image list.</t>
        </is>
      </c>
      <c r="J8" s="8" t="inlineStr">
        <is>
          <t>A16</t>
        </is>
      </c>
      <c r="K8" s="5" t="inlineStr">
        <is>
          <t xml:space="preserve">Valid 5.0 MB image required to be accepted: HTTP 422; {"message":"The images.0 failed to upload.","errors":{"images.0":["The images.0 failed to upload."]}}. PHP upload_max_filesize rejects it before the app 5 MB rule can succeed.</t>
        </is>
      </c>
      <c r="L8" s="5" t="inlineStr">
        <is>
          <t xml:space="preserve">Fail</t>
        </is>
      </c>
      <c r="M8" s="5" t="inlineStr">
        <is>
          <t xml:space="preserve">Tested through the local system API on isolated velure_blackbox; judged against the workbook expected result.</t>
        </is>
      </c>
    </row>
    <row r="9" ht="67.75" customHeight="1">
      <c r="A9" s="7" t="inlineStr">
        <is>
          <t>SEL-PROD-008</t>
        </is>
      </c>
      <c r="B9" s="8" t="inlineStr">
        <is>
          <t>Product Management</t>
        </is>
      </c>
      <c r="C9" s="8" t="inlineStr">
        <is>
          <t>Weight and dimensions validation</t>
        </is>
      </c>
      <c r="D9" s="8" t="inlineStr">
        <is>
          <t>Boundary Value Analysis</t>
        </is>
      </c>
      <c r="E9" s="8" t="inlineStr">
        <is>
          <t>Medium</t>
        </is>
      </c>
      <c r="F9" s="8" t="inlineStr">
        <is>
          <t>Logged in as Seller 1 (Approved). Add Product page is open.</t>
        </is>
      </c>
      <c r="G9" s="8" t="inlineStr">
        <is>
          <t>1. Enter each value, one per attempt, and click Publish.</t>
        </is>
      </c>
      <c r="H9" s="8" t="inlineStr">
        <is>
          <t>Weight 0 (reject)
Weight -1 (reject)
Weight 0.01 kg (accept)
Dimensions 0 × 0 × 0 (reject)
Dimensions abc (reject)</t>
        </is>
      </c>
      <c r="I9" s="8" t="inlineStr">
        <is>
          <t>Zero, negative and non-numeric values are rejected with a message. 0.01 kg is saved and later charged as 1 kg at checkout.</t>
        </is>
      </c>
      <c r="J9" s="8" t="inlineStr">
        <is>
          <t>A20</t>
        </is>
      </c>
      <c r="K9" s="5" t="inlineStr">
        <is>
          <t xml:space="preserve">Zero weight and 0 x 0 x 0 dimensions returned 201. The case requires rejecting zero values; server min:0 accepts them.</t>
        </is>
      </c>
      <c r="L9" s="5" t="inlineStr">
        <is>
          <t xml:space="preserve">Fail</t>
        </is>
      </c>
      <c r="M9" s="5" t="inlineStr">
        <is>
          <t xml:space="preserve">Tested through the local system API on isolated velure_blackbox; judged against the workbook expected result.</t>
        </is>
      </c>
    </row>
    <row r="10" ht="55" customHeight="1">
      <c r="A10" s="7" t="inlineStr">
        <is>
          <t>SEL-PROD-009</t>
        </is>
      </c>
      <c r="B10" s="8" t="inlineStr">
        <is>
          <t>Product Management</t>
        </is>
      </c>
      <c r="C10" s="8" t="inlineStr">
        <is>
          <t>Save as draft</t>
        </is>
      </c>
      <c r="D10" s="8" t="inlineStr">
        <is>
          <t>State Transition</t>
        </is>
      </c>
      <c r="E10" s="8" t="inlineStr">
        <is>
          <t>Medium</t>
        </is>
      </c>
      <c r="F10" s="8" t="inlineStr">
        <is>
          <t>Logged in as Seller 1 (Approved). Add Product page is open.</t>
        </is>
      </c>
      <c r="G10" s="8" t="inlineStr">
        <is>
          <t>1. Fill in the name only.
2. Click Save as Draft.
3. As Buyer 1, search for the name and open the product's URL directly.</t>
        </is>
      </c>
      <c r="H10" s="8" t="inlineStr">
        <is>
          <t>Name: Draft Woven Fan</t>
        </is>
      </c>
      <c r="I10" s="8" t="inlineStr">
        <is>
          <t>The draft is saved with status Draft and no validation errors for other fields. It never appears to buyers, and its URL shows 'not found' or 'unavailable'.</t>
        </is>
      </c>
      <c r="J10" s="8" t="inlineStr"/>
      <c r="K10" s="5" t="inlineStr">
        <is>
          <t xml:space="preserve">Saving the name-only draft Draft Woven Fan returned HTTP 500; application log reports undefined variants at SellerProductController.php:214. The requested incomplete draft cannot be saved.</t>
        </is>
      </c>
      <c r="L10" s="5" t="inlineStr">
        <is>
          <t xml:space="preserve">Fail</t>
        </is>
      </c>
      <c r="M10" s="5" t="inlineStr">
        <is>
          <t xml:space="preserve">Actual API request executed; incomplete name-only draft is the specified valid input in this workbook case.</t>
        </is>
      </c>
    </row>
    <row r="11" ht="42.25" customHeight="1">
      <c r="A11" s="7" t="inlineStr">
        <is>
          <t>SEL-PROD-010</t>
        </is>
      </c>
      <c r="B11" s="8" t="inlineStr">
        <is>
          <t>Product Management</t>
        </is>
      </c>
      <c r="C11" s="8" t="inlineStr">
        <is>
          <t>Publish a draft with missing data</t>
        </is>
      </c>
      <c r="D11" s="8" t="inlineStr">
        <is>
          <t>State Transition</t>
        </is>
      </c>
      <c r="E11" s="8" t="inlineStr">
        <is>
          <t>Medium</t>
        </is>
      </c>
      <c r="F11" s="8" t="inlineStr">
        <is>
          <t>Logged in as Seller 1 (Approved). The draft from the previous case exists.</t>
        </is>
      </c>
      <c r="G11" s="8" t="inlineStr">
        <is>
          <t>1. Open the draft and click Publish without filling the other fields.</t>
        </is>
      </c>
      <c r="H11" s="8" t="inlineStr">
        <is>
          <t>Draft Woven Fan</t>
        </is>
      </c>
      <c r="I11" s="8" t="inlineStr">
        <is>
          <t>Publishing is blocked with required-field messages. The product stays Draft.</t>
        </is>
      </c>
      <c r="J11" s="8" t="inlineStr"/>
      <c r="K11" s="5" t="inlineStr">
        <is>
          <t xml:space="preserve">Draft missing images/category/description/weight and with price zero was activated: HTTP 200, status active. Publication did not revalidate required data.</t>
        </is>
      </c>
      <c r="L11" s="5" t="inlineStr">
        <is>
          <t xml:space="preserve">Fail</t>
        </is>
      </c>
      <c r="M11" s="5" t="inlineStr">
        <is>
          <t xml:space="preserve">Tested through the local system API on isolated velure_blackbox; judged against the workbook expected result.</t>
        </is>
      </c>
    </row>
    <row r="12" ht="80.5" customHeight="1">
      <c r="A12" s="7" t="inlineStr">
        <is>
          <t>SEL-PROD-011</t>
        </is>
      </c>
      <c r="B12" s="8" t="inlineStr">
        <is>
          <t>Product Management</t>
        </is>
      </c>
      <c r="C12" s="8" t="inlineStr">
        <is>
          <t>Deactivate and reactivate a product</t>
        </is>
      </c>
      <c r="D12" s="8" t="inlineStr">
        <is>
          <t>State Transition</t>
        </is>
      </c>
      <c r="E12" s="8" t="inlineStr">
        <is>
          <t>High</t>
        </is>
      </c>
      <c r="F12" s="8" t="inlineStr">
        <is>
          <t>Logged in as Seller 1 (Approved). P-02 is Active. Buyer 1 has P-02 in the cart.</t>
        </is>
      </c>
      <c r="G12" s="8" t="inlineStr">
        <is>
          <t>1. Deactivate P-02.
2. As Buyer 1, search for it, open its URL and open the cart.
3. Reactivate P-02 and repeat the checks.</t>
        </is>
      </c>
      <c r="H12" s="8" t="inlineStr">
        <is>
          <t>P-02 Rattan Fruit Basket</t>
        </is>
      </c>
      <c r="I12" s="8" t="inlineStr">
        <is>
          <t>While inactive: P-02 is missing from search, category and store pages; its URL shows 'unavailable'; the cart line is marked unavailable and cannot be checked out. After reactivation everything returns with the same price, stock and images.</t>
        </is>
      </c>
      <c r="J12" s="8" t="inlineStr"/>
      <c r="K12" s="5" t="inlineStr">
        <is>
          <t xml:space="preserve">Archive 200, public URL 404, search contains P-02 false, reactivate 200. Archive hides the product, but an existing local cart line is not refreshed/disabled as required.</t>
        </is>
      </c>
      <c r="L12" s="5" t="inlineStr">
        <is>
          <t xml:space="preserve">Fail</t>
        </is>
      </c>
      <c r="M12" s="5" t="inlineStr">
        <is>
          <t xml:space="preserve">Actual archive/search/direct URL/restore tested; cart limitation independently confirmed in useCart/CartPage review.</t>
        </is>
      </c>
    </row>
    <row r="13" ht="55" customHeight="1">
      <c r="A13" s="7" t="inlineStr">
        <is>
          <t>SEL-PROD-012</t>
        </is>
      </c>
      <c r="B13" s="8" t="inlineStr">
        <is>
          <t>Product Management</t>
        </is>
      </c>
      <c r="C13" s="8" t="inlineStr">
        <is>
          <t>Duplicate a product</t>
        </is>
      </c>
      <c r="D13" s="8" t="inlineStr">
        <is>
          <t>Use Case Testing</t>
        </is>
      </c>
      <c r="E13" s="8" t="inlineStr">
        <is>
          <t>Low</t>
        </is>
      </c>
      <c r="F13" s="8" t="inlineStr">
        <is>
          <t>Logged in as Seller 1 (Approved).</t>
        </is>
      </c>
      <c r="G13" s="8" t="inlineStr">
        <is>
          <t>1. Click Duplicate on P-02.
2. Check the copy's fields and save it.</t>
        </is>
      </c>
      <c r="H13" s="8" t="inlineStr">
        <is>
          <t>P-02</t>
        </is>
      </c>
      <c r="I13" s="8" t="inlineStr">
        <is>
          <t>The copy has the same details, a new product ID, and is saved as Draft. The original P-02 is unchanged and buyers see only one Rattan Fruit Basket.</t>
        </is>
      </c>
      <c r="J13" s="8" t="inlineStr"/>
      <c r="K13" s="5" t="inlineStr">
        <is>
          <t xml:space="preserve">The seller product routes and product actions provide edit, stock, price, archive and delete, but no Duplicate Product action that creates a draft copy.</t>
        </is>
      </c>
      <c r="L13" s="5" t="inlineStr">
        <is>
          <t xml:space="preserve">Fail</t>
        </is>
      </c>
      <c r="M13" s="5" t="inlineStr">
        <is>
          <t xml:space="preserve">Implementation review: backend/routes/api.php:338. Required behavior in this case is absent or differs. This finding is not a claimed browser execution.</t>
        </is>
      </c>
    </row>
    <row r="14" ht="55" customHeight="1">
      <c r="A14" s="7" t="inlineStr">
        <is>
          <t>SEL-PROD-013</t>
        </is>
      </c>
      <c r="B14" s="8" t="inlineStr">
        <is>
          <t>Product Management</t>
        </is>
      </c>
      <c r="C14" s="8" t="inlineStr">
        <is>
          <t>Edit price of a product in a buyer's cart</t>
        </is>
      </c>
      <c r="D14" s="8" t="inlineStr">
        <is>
          <t>State Transition</t>
        </is>
      </c>
      <c r="E14" s="8" t="inlineStr">
        <is>
          <t>High</t>
        </is>
      </c>
      <c r="F14" s="8" t="inlineStr">
        <is>
          <t>Logged in as Seller 1 (Approved). Buyer 1 has P-02 (₱450.00) in the cart.</t>
        </is>
      </c>
      <c r="G14" s="8" t="inlineStr">
        <is>
          <t>1. Change P-02's price to ₱420.00 and save.
2. As Buyer 1, refresh the cart and go to checkout.</t>
        </is>
      </c>
      <c r="H14" s="8" t="inlineStr">
        <is>
          <t>₱450.00 → ₱420.00</t>
        </is>
      </c>
      <c r="I14" s="8" t="inlineStr">
        <is>
          <t>The cart line and checkout both show ₱420.00 and the subtotal is recalculated. The old price is not used anywhere.</t>
        </is>
      </c>
      <c r="J14" s="8" t="inlineStr"/>
      <c r="K14" s="5" t="inlineStr">
        <is>
          <t xml:space="preserve">The buyer cart stores its original unit price in localStorage and does not refetch it on cart refresh; seller price updates therefore do not update that cart line automatically.</t>
        </is>
      </c>
      <c r="L14" s="5" t="inlineStr">
        <is>
          <t xml:space="preserve">Fail</t>
        </is>
      </c>
      <c r="M14" s="5" t="inlineStr">
        <is>
          <t xml:space="preserve">Implementation review: frontend/src/hooks/useCart.tsx:10. Required behavior in this case is absent or differs. This finding is not a claimed browser execution.</t>
        </is>
      </c>
    </row>
    <row r="15" ht="42.25" customHeight="1">
      <c r="A15" s="7" t="inlineStr">
        <is>
          <t>SEL-PROD-014</t>
        </is>
      </c>
      <c r="B15" s="8" t="inlineStr">
        <is>
          <t>Product Management</t>
        </is>
      </c>
      <c r="C15" s="8" t="inlineStr">
        <is>
          <t>Delete a product with unfinished orders</t>
        </is>
      </c>
      <c r="D15" s="8" t="inlineStr">
        <is>
          <t>State Transition</t>
        </is>
      </c>
      <c r="E15" s="8" t="inlineStr">
        <is>
          <t>High</t>
        </is>
      </c>
      <c r="F15" s="8" t="inlineStr">
        <is>
          <t>Logged in as Seller 1 (Approved). P-02 is in an order with status To Ship.</t>
        </is>
      </c>
      <c r="G15" s="8" t="inlineStr">
        <is>
          <t>1. Click Delete on P-02 and confirm.</t>
        </is>
      </c>
      <c r="H15" s="8" t="inlineStr">
        <is>
          <t>P-02</t>
        </is>
      </c>
      <c r="I15" s="8" t="inlineStr">
        <is>
          <t>Deletion is blocked with a message that the product has unfinished orders. P-02 stays Active.</t>
        </is>
      </c>
      <c r="J15" s="8" t="inlineStr">
        <is>
          <t>A19</t>
        </is>
      </c>
      <c r="K15" s="5" t="inlineStr">
        <is>
          <t xml:space="preserve">Deleting active P-02 with its unfinished test order returned 422: Only draft or rejected products can be deleted.; product retained.</t>
        </is>
      </c>
      <c r="L15" s="5" t="inlineStr">
        <is>
          <t xml:space="preserve">Pass</t>
        </is>
      </c>
      <c r="M15" s="5" t="inlineStr">
        <is>
          <t xml:space="preserve">Deletion is broadly restricted to draft/rejected products, not a dedicated unfinished-orders check; case safety condition holds.</t>
        </is>
      </c>
    </row>
    <row r="16" ht="55" customHeight="1">
      <c r="A16" s="7" t="inlineStr">
        <is>
          <t>SEL-PROD-015</t>
        </is>
      </c>
      <c r="B16" s="8" t="inlineStr">
        <is>
          <t>Product Management</t>
        </is>
      </c>
      <c r="C16" s="8" t="inlineStr">
        <is>
          <t>Delete a product with only finished orders</t>
        </is>
      </c>
      <c r="D16" s="8" t="inlineStr">
        <is>
          <t>State Transition</t>
        </is>
      </c>
      <c r="E16" s="8" t="inlineStr">
        <is>
          <t>Medium</t>
        </is>
      </c>
      <c r="F16" s="8" t="inlineStr">
        <is>
          <t>Logged in as Seller 1 (Approved). P-04 has only Completed orders.</t>
        </is>
      </c>
      <c r="G16" s="8" t="inlineStr">
        <is>
          <t>1. Delete P-04 and confirm.
2. As Buyer 1, search for P-04 and open the completed order.
3. As Seller 1, open the same order.</t>
        </is>
      </c>
      <c r="H16" s="8" t="inlineStr">
        <is>
          <t>P-04</t>
        </is>
      </c>
      <c r="I16" s="8" t="inlineStr">
        <is>
          <t>P-04 disappears from the product list, search and store page. Both order views still show its name, image and price paid.</t>
        </is>
      </c>
      <c r="J16" s="8" t="inlineStr">
        <is>
          <t>A19</t>
        </is>
      </c>
      <c r="K16" s="5" t="inlineStr">
        <is>
          <t xml:space="preserve">Deletion is allowed only for draft/rejected products. An Active product with only finished orders cannot be deleted as required; the mixed bulk-delete expectation is therefore also unmet.</t>
        </is>
      </c>
      <c r="L16" s="5" t="inlineStr">
        <is>
          <t xml:space="preserve">Fail</t>
        </is>
      </c>
      <c r="M16" s="5" t="inlineStr">
        <is>
          <t xml:space="preserve">Implementation review: backend/app/Http/Controllers/Api/V1/SellerProductController.php:326. Required behavior in this case is absent or differs. This finding is not a claimed browser execution.</t>
        </is>
      </c>
    </row>
    <row r="17" ht="55" customHeight="1">
      <c r="A17" s="7" t="inlineStr">
        <is>
          <t>SEL-PROD-016</t>
        </is>
      </c>
      <c r="B17" s="8" t="inlineStr">
        <is>
          <t>Product Management</t>
        </is>
      </c>
      <c r="C17" s="8" t="inlineStr">
        <is>
          <t>Bulk deactivate and bulk delete with a mixed selection</t>
        </is>
      </c>
      <c r="D17" s="8" t="inlineStr">
        <is>
          <t>Use Case Testing</t>
        </is>
      </c>
      <c r="E17" s="8" t="inlineStr">
        <is>
          <t>Medium</t>
        </is>
      </c>
      <c r="F17" s="8" t="inlineStr">
        <is>
          <t>Logged in as Seller 1 (Approved). P-02 has a To Ship order; P-04 and the Buri Placemat Set do not.</t>
        </is>
      </c>
      <c r="G17" s="8" t="inlineStr">
        <is>
          <t>1. Select P-02, P-04 and Buri Placemat Set; choose Bulk Deactivate.
2. Reactivate all three, select them again and choose Bulk Delete.</t>
        </is>
      </c>
      <c r="H17" s="8" t="inlineStr">
        <is>
          <t>3 products</t>
        </is>
      </c>
      <c r="I17" s="8" t="inlineStr">
        <is>
          <t>Bulk Deactivate deactivates all three. Bulk Delete deletes P-04 and Buri Placemat Set and reports that P-02 was skipped because it has unfinished orders. P-02 is still present.</t>
        </is>
      </c>
      <c r="J17" s="8" t="inlineStr">
        <is>
          <t>A19</t>
        </is>
      </c>
      <c r="K17" s="5" t="inlineStr">
        <is>
          <t xml:space="preserve">Could not complete bulk deactivate and bulk delete with a mixed selection: active products with only completed orders cannot be deleted, so the required mixed-selection deletion result cannot be reached through the specified workflow.</t>
        </is>
      </c>
      <c r="L17" s="5" t="inlineStr">
        <is>
          <t xml:space="preserve">Blocked</t>
        </is>
      </c>
      <c r="M17" s="5" t="inlineStr">
        <is>
          <t xml:space="preserve">Blocked prerequisite: SEL-PROD-015. The required setup/action was unavailable, so the dependent expected result was not verified. Evidence reviewed from the existing runtime/implementation findings; this status review did not rerun the system.</t>
        </is>
      </c>
    </row>
    <row r="18" ht="29.5" customHeight="1">
      <c r="A18" s="7" t="inlineStr">
        <is>
          <t>SEL-PROD-017</t>
        </is>
      </c>
      <c r="B18" s="8" t="inlineStr">
        <is>
          <t>Product Management</t>
        </is>
      </c>
      <c r="C18" s="8" t="inlineStr">
        <is>
          <t>Double-click Publish</t>
        </is>
      </c>
      <c r="D18" s="8" t="inlineStr">
        <is>
          <t>Error Guessing</t>
        </is>
      </c>
      <c r="E18" s="8" t="inlineStr">
        <is>
          <t>High</t>
        </is>
      </c>
      <c r="F18" s="8" t="inlineStr">
        <is>
          <t>Logged in as Seller 1 (Approved). Add Product page is open.</t>
        </is>
      </c>
      <c r="G18" s="8" t="inlineStr">
        <is>
          <t>1. Fill in valid data.
2. Double-click Publish quickly.</t>
        </is>
      </c>
      <c r="H18" s="8" t="inlineStr">
        <is>
          <t>Name: Double Click Test Tote</t>
        </is>
      </c>
      <c r="I18" s="8" t="inlineStr">
        <is>
          <t>Exactly one product is created.</t>
        </is>
      </c>
      <c r="J18" s="8" t="inlineStr">
        <is>
          <t>A37</t>
        </is>
      </c>
      <c r="K18" s="5" t="inlineStr">
        <is>
          <t xml:space="preserve">Concurrent identical publication requests 201/201; distinct IDs 19/20. Server creates duplicates instead of one product.</t>
        </is>
      </c>
      <c r="L18" s="5" t="inlineStr">
        <is>
          <t xml:space="preserve">Fail</t>
        </is>
      </c>
      <c r="M18" s="5" t="inlineStr">
        <is>
          <t xml:space="preserve">API concurrency/replay tested using complete variant data; browser submit-disable behavior is separate.</t>
        </is>
      </c>
    </row>
    <row r="19" ht="67.75" customHeight="1">
      <c r="A19" s="7" t="inlineStr">
        <is>
          <t>SEL-PROD-018</t>
        </is>
      </c>
      <c r="B19" s="8" t="inlineStr">
        <is>
          <t>Product Management</t>
        </is>
      </c>
      <c r="C19" s="8" t="inlineStr">
        <is>
          <t>Edit another seller's product</t>
        </is>
      </c>
      <c r="D19" s="8" t="inlineStr">
        <is>
          <t>Error Guessing</t>
        </is>
      </c>
      <c r="E19" s="8" t="inlineStr">
        <is>
          <t>High</t>
        </is>
      </c>
      <c r="F19" s="8" t="inlineStr">
        <is>
          <t>Logged in as Seller 1 (Approved).</t>
        </is>
      </c>
      <c r="G19" s="8" t="inlineStr">
        <is>
          <t>1. Open the edit page of one of Seller 1's products.
2. Replace the product ID in the URL with P-05's ID (Seller 2) and load it.
3. Try to save.</t>
        </is>
      </c>
      <c r="H19" s="8" t="inlineStr">
        <is>
          <t>P-05's product ID</t>
        </is>
      </c>
      <c r="I19" s="8" t="inlineStr">
        <is>
          <t>Access is denied (403 or not found). P-05's details are not shown and P-05 is unchanged.</t>
        </is>
      </c>
      <c r="J19" s="8" t="inlineStr">
        <is>
          <t>A22</t>
        </is>
      </c>
      <c r="K19" s="5" t="inlineStr">
        <is>
          <t xml:space="preserve">HTTP 403: {"message":""}</t>
        </is>
      </c>
      <c r="L19" s="5" t="inlineStr">
        <is>
          <t xml:space="preserve">Pass</t>
        </is>
      </c>
      <c r="M19" s="5" t="inlineStr">
        <is>
          <t xml:space="preserve">API ownership check only. HTTP 422 alone does not prove authorization.</t>
        </is>
      </c>
    </row>
  </sheetData>
  <autoFilter ref="A1:M1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SEL-VAR-001</t>
        </is>
      </c>
      <c r="B2" s="8" t="inlineStr">
        <is>
          <t>Product Variants</t>
        </is>
      </c>
      <c r="C2" s="8" t="inlineStr">
        <is>
          <t>Create a product with 2 variation types</t>
        </is>
      </c>
      <c r="D2" s="8" t="inlineStr">
        <is>
          <t>Use Case Testing</t>
        </is>
      </c>
      <c r="E2" s="8" t="inlineStr">
        <is>
          <t>High</t>
        </is>
      </c>
      <c r="F2" s="8" t="inlineStr">
        <is>
          <t>Logged in as Seller 1 (Approved). Add Product page is open.</t>
        </is>
      </c>
      <c r="G2" s="8" t="inlineStr">
        <is>
          <t>1. Add variation Color with options Red, Blue.
2. Add variation Size with options S, M, L.
3. Fill in price, stock and SKU for every row.
4. Publish.
5. As Buyer 1, open the product.</t>
        </is>
      </c>
      <c r="H2" s="8" t="inlineStr">
        <is>
          <t>Name: Buri Coin Purse
Color: Red, Blue
Size: S, M, L
Prices: S ₱99, M ₱129, L ₱149
Stock: 5 each
SKU: BCP-&lt;COLOR&gt;-&lt;SIZE&gt;</t>
        </is>
      </c>
      <c r="I2" s="8" t="inlineStr">
        <is>
          <t>Exactly 6 rows are generated (Red-S, Red-M, Red-L, Blue-S, Blue-M, Blue-L), each saved with its own price, stock and SKU. The buyer sees both selectors and the price range ₱99 – ₱149.</t>
        </is>
      </c>
      <c r="J2" s="8" t="inlineStr">
        <is>
          <t>A7</t>
        </is>
      </c>
      <c r="K2" s="5" t="inlineStr">
        <is>
          <t xml:space="preserve">Created six Color/Size combinations: HTTP 201, rows 6. However buyer page displays only base/selected price, not required 99–149 price range.</t>
        </is>
      </c>
      <c r="L2" s="5" t="inlineStr">
        <is>
          <t xml:space="preserve">Fail</t>
        </is>
      </c>
      <c r="M2" s="5" t="inlineStr">
        <is>
          <t xml:space="preserve">Combination storage tested through API; missing range display independently confirmed in ProductDetailPage.</t>
        </is>
      </c>
    </row>
    <row r="3" ht="42.25" customHeight="1">
      <c r="A3" s="7" t="inlineStr">
        <is>
          <t>SEL-VAR-002</t>
        </is>
      </c>
      <c r="B3" s="8" t="inlineStr">
        <is>
          <t>Product Variants</t>
        </is>
      </c>
      <c r="C3" s="8" t="inlineStr">
        <is>
          <t>Add a third variation type</t>
        </is>
      </c>
      <c r="D3" s="8" t="inlineStr">
        <is>
          <t>Boundary Value Analysis</t>
        </is>
      </c>
      <c r="E3" s="8" t="inlineStr">
        <is>
          <t>Medium</t>
        </is>
      </c>
      <c r="F3" s="8" t="inlineStr">
        <is>
          <t>Logged in as Seller 1 (Approved). Buri Coin Purse has Color and Size.</t>
        </is>
      </c>
      <c r="G3" s="8" t="inlineStr">
        <is>
          <t>1. Try to add a third variation type.</t>
        </is>
      </c>
      <c r="H3" s="8" t="inlineStr">
        <is>
          <t>Material: Abaca, Buri</t>
        </is>
      </c>
      <c r="I3" s="8" t="inlineStr">
        <is>
          <t>The third type cannot be added; a message states the maximum of 2. The existing 6 rows are unchanged.</t>
        </is>
      </c>
      <c r="J3" s="8" t="inlineStr">
        <is>
          <t>A7</t>
        </is>
      </c>
      <c r="K3" s="5" t="inlineStr">
        <is>
          <t xml:space="preserve">The variant editor permits three variation types (types.length &lt; 3); the workbook requires a maximum of two.</t>
        </is>
      </c>
      <c r="L3" s="5" t="inlineStr">
        <is>
          <t xml:space="preserve">Fail</t>
        </is>
      </c>
      <c r="M3" s="5" t="inlineStr">
        <is>
          <t xml:space="preserve">Implementation review: frontend/src/pages/seller/SellerAddProductPage.tsx:703. Required behavior in this case is absent or differs. This finding is not a claimed browser execution.</t>
        </is>
      </c>
    </row>
    <row r="4" ht="29.5" customHeight="1">
      <c r="A4" s="7" t="inlineStr">
        <is>
          <t>SEL-VAR-003</t>
        </is>
      </c>
      <c r="B4" s="8" t="inlineStr">
        <is>
          <t>Product Variants</t>
        </is>
      </c>
      <c r="C4" s="8" t="inlineStr">
        <is>
          <t>Options per type at the limit</t>
        </is>
      </c>
      <c r="D4" s="8" t="inlineStr">
        <is>
          <t>Boundary Value Analysis</t>
        </is>
      </c>
      <c r="E4" s="8" t="inlineStr">
        <is>
          <t>Medium</t>
        </is>
      </c>
      <c r="F4" s="8" t="inlineStr">
        <is>
          <t>Logged in as Seller 1 (Approved). Add Product page is open.</t>
        </is>
      </c>
      <c r="G4" s="8" t="inlineStr">
        <is>
          <t>1. Add 20 options to Color.
2. Try to add a 21st option.</t>
        </is>
      </c>
      <c r="H4" s="8" t="inlineStr">
        <is>
          <t>Colors 1 to 21</t>
        </is>
      </c>
      <c r="I4" s="8" t="inlineStr">
        <is>
          <t>20 options are accepted. The 21st is blocked with a limit message.</t>
        </is>
      </c>
      <c r="J4" s="8" t="inlineStr">
        <is>
          <t>A7</t>
        </is>
      </c>
      <c r="K4" s="5" t="inlineStr">
        <is>
          <t xml:space="preserve">The option editor caps each type at 12 options (MAX_OPTIONS = 12); the workbook requires accepting 20 and rejecting only the 21st.</t>
        </is>
      </c>
      <c r="L4" s="5" t="inlineStr">
        <is>
          <t xml:space="preserve">Fail</t>
        </is>
      </c>
      <c r="M4" s="5" t="inlineStr">
        <is>
          <t xml:space="preserve">Implementation review: frontend/src/pages/seller/SellerAddProductPage.tsx:601. Required behavior in this case is absent or differs. This finding is not a claimed browser execution.</t>
        </is>
      </c>
    </row>
    <row r="5" ht="42.25" customHeight="1">
      <c r="A5" s="7" t="inlineStr">
        <is>
          <t>SEL-VAR-004</t>
        </is>
      </c>
      <c r="B5" s="8" t="inlineStr">
        <is>
          <t>Product Variants</t>
        </is>
      </c>
      <c r="C5" s="8" t="inlineStr">
        <is>
          <t>Duplicate or empty option names</t>
        </is>
      </c>
      <c r="D5" s="8" t="inlineStr">
        <is>
          <t>Equivalence Partitioning</t>
        </is>
      </c>
      <c r="E5" s="8" t="inlineStr">
        <is>
          <t>High</t>
        </is>
      </c>
      <c r="F5" s="8" t="inlineStr">
        <is>
          <t>Logged in as Seller 1 (Approved). Add Product page is open.</t>
        </is>
      </c>
      <c r="G5" s="8" t="inlineStr">
        <is>
          <t>1. Under Color, add options Red and red.
2. Add an option with an empty name.
3. Click Publish.</t>
        </is>
      </c>
      <c r="H5" s="8" t="inlineStr">
        <is>
          <t>Red, red, '' (empty)</t>
        </is>
      </c>
      <c r="I5" s="8" t="inlineStr">
        <is>
          <t>Publishing is blocked. The duplicate (not case-sensitive) and the empty option are each highlighted with a message. No product is created.</t>
        </is>
      </c>
      <c r="J5" s="8" t="inlineStr"/>
      <c r="K5" s="5" t="inlineStr">
        <is>
          <t xml:space="preserve">The option duplicate check uses case-sensitive options.includes(val), so Red and red can coexist; it does not meet the required case-insensitive duplicate validation.</t>
        </is>
      </c>
      <c r="L5" s="5" t="inlineStr">
        <is>
          <t xml:space="preserve">Fail</t>
        </is>
      </c>
      <c r="M5" s="5" t="inlineStr">
        <is>
          <t xml:space="preserve">Implementation review: frontend/src/pages/seller/SellerAddProductPage.tsx:605. Required behavior in this case is absent or differs. This finding is not a claimed browser execution.</t>
        </is>
      </c>
    </row>
    <row r="6" ht="55" customHeight="1">
      <c r="A6" s="7" t="inlineStr">
        <is>
          <t>SEL-VAR-005</t>
        </is>
      </c>
      <c r="B6" s="8" t="inlineStr">
        <is>
          <t>Product Variants</t>
        </is>
      </c>
      <c r="C6" s="8" t="inlineStr">
        <is>
          <t>Missing or invalid price or stock on one variant</t>
        </is>
      </c>
      <c r="D6" s="8" t="inlineStr">
        <is>
          <t>Equivalence Partitioning</t>
        </is>
      </c>
      <c r="E6" s="8" t="inlineStr">
        <is>
          <t>High</t>
        </is>
      </c>
      <c r="F6" s="8" t="inlineStr">
        <is>
          <t>Logged in as Seller 1 (Approved). Add Product page is open.</t>
        </is>
      </c>
      <c r="G6" s="8" t="inlineStr">
        <is>
          <t>1. Create Color × Size as above.
2. Leave Blue-L price blank and publish.
3. Enter Blue-L price ₱0.00 and publish.
4. Enter Blue-L stock -1 and publish.</t>
        </is>
      </c>
      <c r="H6" s="8" t="inlineStr">
        <is>
          <t>Blue-L price blank, ₱0.00; stock -1</t>
        </is>
      </c>
      <c r="I6" s="8" t="inlineStr">
        <is>
          <t>Each attempt is blocked and only the Blue-L row is highlighted. The price and stock rules from A17 apply per variant.</t>
        </is>
      </c>
      <c r="J6" s="8" t="inlineStr">
        <is>
          <t>A17</t>
        </is>
      </c>
      <c r="K6" s="5" t="inlineStr">
        <is>
          <t xml:space="preserve">Blue / L variant price 0.00 returned 201. The workbook requires rejecting a zero-price variant.</t>
        </is>
      </c>
      <c r="L6" s="5" t="inlineStr">
        <is>
          <t xml:space="preserve">Fail</t>
        </is>
      </c>
      <c r="M6" s="5" t="inlineStr">
        <is>
          <t xml:space="preserve">Tested through the local system API on isolated velure_blackbox; judged against the workbook expected result.</t>
        </is>
      </c>
    </row>
    <row r="7" ht="42.25" customHeight="1">
      <c r="A7" s="7" t="inlineStr">
        <is>
          <t>SEL-VAR-006</t>
        </is>
      </c>
      <c r="B7" s="8" t="inlineStr">
        <is>
          <t>Product Variants</t>
        </is>
      </c>
      <c r="C7" s="8" t="inlineStr">
        <is>
          <t>Duplicate SKU</t>
        </is>
      </c>
      <c r="D7" s="8" t="inlineStr">
        <is>
          <t>Equivalence Partitioning</t>
        </is>
      </c>
      <c r="E7" s="8" t="inlineStr">
        <is>
          <t>Medium</t>
        </is>
      </c>
      <c r="F7" s="8" t="inlineStr">
        <is>
          <t>Logged in as Seller 1 (Approved). Add Product page is open.</t>
        </is>
      </c>
      <c r="G7" s="8" t="inlineStr">
        <is>
          <t>1. Give Red-S and Blue-S the same SKU.
2. Then use an SKU already used by P-01.
3. Publish each time.</t>
        </is>
      </c>
      <c r="H7" s="8" t="inlineStr">
        <is>
          <t>BCP-RED-S twice; MCH-TOTE-NAT-S</t>
        </is>
      </c>
      <c r="I7" s="8" t="inlineStr">
        <is>
          <t>Both are blocked with a duplicate-SKU message.</t>
        </is>
      </c>
      <c r="J7" s="8" t="inlineStr"/>
      <c r="K7" s="5" t="inlineStr">
        <is>
          <t xml:space="preserve">Variant SKU is nullable|string|max:100 without a unique or distinct rule, and variants are created directly. The required duplicate-SKU rejection is absent.</t>
        </is>
      </c>
      <c r="L7" s="5" t="inlineStr">
        <is>
          <t xml:space="preserve">Fail</t>
        </is>
      </c>
      <c r="M7" s="5" t="inlineStr">
        <is>
          <t xml:space="preserve">Implementation review: backend/app/Http/Controllers/Api/V1/SellerProductController.php:58. Required behavior in this case is absent or differs. This finding is not a claimed browser execution.</t>
        </is>
      </c>
    </row>
    <row r="8" ht="55" customHeight="1">
      <c r="A8" s="7" t="inlineStr">
        <is>
          <t>SEL-VAR-007</t>
        </is>
      </c>
      <c r="B8" s="8" t="inlineStr">
        <is>
          <t>Product Variants</t>
        </is>
      </c>
      <c r="C8" s="8" t="inlineStr">
        <is>
          <t>Price range shown on the product page and search</t>
        </is>
      </c>
      <c r="D8" s="8" t="inlineStr">
        <is>
          <t>Use Case Testing</t>
        </is>
      </c>
      <c r="E8" s="8" t="inlineStr">
        <is>
          <t>High</t>
        </is>
      </c>
      <c r="F8" s="8" t="inlineStr">
        <is>
          <t>Logged in as Seller 1 (Approved). P-01 is published.</t>
        </is>
      </c>
      <c r="G8" s="8" t="inlineStr">
        <is>
          <t>1. As Buyer 1, search for 'Abaca Woven Tote Bag'.
2. Open P-01 without selecting a variant.
3. Select Natural-M.</t>
        </is>
      </c>
      <c r="H8" s="8" t="inlineStr">
        <is>
          <t>P-01: S ₱199, M ₱249, L ₱299</t>
        </is>
      </c>
      <c r="I8" s="8" t="inlineStr">
        <is>
          <t>Search card and product page show ₱199 – ₱299. After selecting Natural-M the page shows ₱249.00 only.</t>
        </is>
      </c>
      <c r="J8" s="8" t="inlineStr"/>
      <c r="K8" s="5" t="inlineStr">
        <is>
          <t xml:space="preserve">Before selecting a variation, the product page renders product.base_price as a single amount rather than the full minimum-to-maximum range. The expected 199–299 range is not shown.</t>
        </is>
      </c>
      <c r="L8" s="5" t="inlineStr">
        <is>
          <t xml:space="preserve">Fail</t>
        </is>
      </c>
      <c r="M8" s="5" t="inlineStr">
        <is>
          <t xml:space="preserve">Implementation review: frontend/src/pages/ProductDetailPage.tsx:140. Required behavior in this case is absent or differs. This finding is not a claimed browser execution.</t>
        </is>
      </c>
    </row>
    <row r="9" ht="42.25" customHeight="1">
      <c r="A9" s="7" t="inlineStr">
        <is>
          <t>SEL-VAR-008</t>
        </is>
      </c>
      <c r="B9" s="8" t="inlineStr">
        <is>
          <t>Product Variants</t>
        </is>
      </c>
      <c r="C9" s="8" t="inlineStr">
        <is>
          <t>Variant image switching</t>
        </is>
      </c>
      <c r="D9" s="8" t="inlineStr">
        <is>
          <t>Equivalence Partitioning</t>
        </is>
      </c>
      <c r="E9" s="8" t="inlineStr">
        <is>
          <t>Medium</t>
        </is>
      </c>
      <c r="F9" s="8" t="inlineStr">
        <is>
          <t>Logged in as Seller 1 (Approved).</t>
        </is>
      </c>
      <c r="G9" s="8" t="inlineStr">
        <is>
          <t>1. Set image A for Natural and image B for Black.
2. As Buyer 1, select Natural, then Black.</t>
        </is>
      </c>
      <c r="H9" s="8" t="inlineStr">
        <is>
          <t>P-01; product_front.jpg (Natural), product_side.png (Black)</t>
        </is>
      </c>
      <c r="I9" s="8" t="inlineStr">
        <is>
          <t>The main image changes to the selected colour's image each time.</t>
        </is>
      </c>
      <c r="J9" s="8" t="inlineStr"/>
      <c r="K9" s="5" t="inlineStr">
        <is>
          <t xml:space="preserve">Natural and Black selection main images differ: true; URLs http://127.0.0.1:8010/storage/products/images/cMiJX4rNyWv0ZYwdzxwYUp4DcVFNO7wWHhzpyS3i.jpg → http://127.0.0.1:8010/storage/products/images/6ZyN9TGN4ove7tjWIwM5OZYZ79UYu4wGKaCsHrjS.png.</t>
        </is>
      </c>
      <c r="L9" s="5" t="inlineStr">
        <is>
          <t xml:space="preserve">Pass</t>
        </is>
      </c>
      <c r="M9" s="5" t="inlineStr">
        <is>
          <t xml:space="preserve">Two actual product images were uploaded as the specified precondition; live Edge gallery checked.</t>
        </is>
      </c>
    </row>
    <row r="10" ht="42.25" customHeight="1">
      <c r="A10" s="7" t="inlineStr">
        <is>
          <t>SEL-VAR-009</t>
        </is>
      </c>
      <c r="B10" s="8" t="inlineStr">
        <is>
          <t>Product Variants</t>
        </is>
      </c>
      <c r="C10" s="8" t="inlineStr">
        <is>
          <t>Variant with 0 stock</t>
        </is>
      </c>
      <c r="D10" s="8" t="inlineStr">
        <is>
          <t>Equivalence Partitioning</t>
        </is>
      </c>
      <c r="E10" s="8" t="inlineStr">
        <is>
          <t>High</t>
        </is>
      </c>
      <c r="F10" s="8" t="inlineStr">
        <is>
          <t>Logged in as Seller 1 (Approved). P-01 Black-M stock is 0.</t>
        </is>
      </c>
      <c r="G10" s="8" t="inlineStr">
        <is>
          <t>1. As Buyer 1, open P-01 and select Black.
2. Try to click M.</t>
        </is>
      </c>
      <c r="H10" s="8" t="inlineStr">
        <is>
          <t>P-01 Black-M</t>
        </is>
      </c>
      <c r="I10" s="8" t="inlineStr">
        <is>
          <t>M is visible but disabled for Black and cannot be selected. Natural-M remains selectable. The page shows no error.</t>
        </is>
      </c>
      <c r="J10" s="8" t="inlineStr"/>
      <c r="K10" s="5" t="inlineStr">
        <is>
          <t xml:space="preserve">Buyer Black/M zero-stock option: [{"text":"M","disabled":false}]. Size M should be disabled for Black while remaining available for Natural.</t>
        </is>
      </c>
      <c r="L10" s="5" t="inlineStr">
        <is>
          <t xml:space="preserve">Fail</t>
        </is>
      </c>
      <c r="M10" s="5" t="inlineStr">
        <is>
          <t xml:space="preserve">Shared browser evidence: BUY-PDP-003.</t>
        </is>
      </c>
    </row>
    <row r="11" ht="67.75" customHeight="1">
      <c r="A11" s="7" t="inlineStr">
        <is>
          <t>SEL-VAR-010</t>
        </is>
      </c>
      <c r="B11" s="8" t="inlineStr">
        <is>
          <t>Product Variants</t>
        </is>
      </c>
      <c r="C11" s="8" t="inlineStr">
        <is>
          <t>Change options after orders exist</t>
        </is>
      </c>
      <c r="D11" s="8" t="inlineStr">
        <is>
          <t>State Transition</t>
        </is>
      </c>
      <c r="E11" s="8" t="inlineStr">
        <is>
          <t>High</t>
        </is>
      </c>
      <c r="F11" s="8" t="inlineStr">
        <is>
          <t>Logged in as Seller 1 (Approved). A Completed order exists for P-01 Natural-M at ₱249.</t>
        </is>
      </c>
      <c r="G11" s="8" t="inlineStr">
        <is>
          <t>1. Rename option Natural to Beige.
2. Change Beige-M price to ₱259.
3. Add option Brown.
4. Open the old order as Seller 1 and as Buyer 1.</t>
        </is>
      </c>
      <c r="H11" s="8" t="inlineStr">
        <is>
          <t>P-01</t>
        </is>
      </c>
      <c r="I11" s="8" t="inlineStr">
        <is>
          <t>The old order still shows Natural-M at ₱249.00 for both roles. The product page shows Beige and Brown with the new price.</t>
        </is>
      </c>
      <c r="J11" s="8" t="inlineStr"/>
      <c r="K11" s="5" t="inlineStr">
        <is>
          <t xml:space="preserve">Completed order 24 retains Natural/M at 249 on buyer and seller views. Product now has Beige/M at 259 and Brown options: true.</t>
        </is>
      </c>
      <c r="L11" s="5" t="inlineStr">
        <is>
          <t xml:space="preserve">Pass</t>
        </is>
      </c>
      <c r="M11" s="5" t="inlineStr">
        <is>
          <t xml:space="preserve">Exact completed-order/rename/new-price/add-option scenario executed; original variants restored afterward.</t>
        </is>
      </c>
    </row>
    <row r="12" ht="42.25" customHeight="1">
      <c r="A12" s="7" t="inlineStr">
        <is>
          <t>SEL-VAR-011</t>
        </is>
      </c>
      <c r="B12" s="8" t="inlineStr">
        <is>
          <t>Product Variants</t>
        </is>
      </c>
      <c r="C12" s="8" t="inlineStr">
        <is>
          <t>Remove a variant that is in a buyer's cart</t>
        </is>
      </c>
      <c r="D12" s="8" t="inlineStr">
        <is>
          <t>State Transition</t>
        </is>
      </c>
      <c r="E12" s="8" t="inlineStr">
        <is>
          <t>High</t>
        </is>
      </c>
      <c r="F12" s="8" t="inlineStr">
        <is>
          <t>Logged in as Seller 1 (Approved). Buyer 1 has P-01 Black-L in the cart.</t>
        </is>
      </c>
      <c r="G12" s="8" t="inlineStr">
        <is>
          <t>1. Delete the Black-L row and save.
2. As Buyer 1, open the cart and try to select and check out Black-L.</t>
        </is>
      </c>
      <c r="H12" s="8" t="inlineStr">
        <is>
          <t>P-01 Black-L</t>
        </is>
      </c>
      <c r="I12" s="8" t="inlineStr">
        <is>
          <t>The cart line shows 'Variation unavailable' and cannot be selected for checkout. Other cart lines still check out.</t>
        </is>
      </c>
      <c r="J12" s="8" t="inlineStr"/>
      <c r="K12" s="5" t="inlineStr">
        <is>
          <t xml:space="preserve">The cart retains a variant snapshot and does not revalidate whether that variation still exists when rendering; it does not mark a removed variant unavailable in the cart.</t>
        </is>
      </c>
      <c r="L12" s="5" t="inlineStr">
        <is>
          <t xml:space="preserve">Fail</t>
        </is>
      </c>
      <c r="M12" s="5" t="inlineStr">
        <is>
          <t xml:space="preserve">Implementation review: frontend/src/hooks/useCart.tsx:6. Required behavior in this case is absent or differs. This finding is not a claimed browser execution.</t>
        </is>
      </c>
    </row>
    <row r="13" ht="55" customHeight="1">
      <c r="A13" s="7" t="inlineStr">
        <is>
          <t>SEL-VAR-012</t>
        </is>
      </c>
      <c r="B13" s="8" t="inlineStr">
        <is>
          <t>Product Variants</t>
        </is>
      </c>
      <c r="C13" s="8" t="inlineStr">
        <is>
          <t>Remove a variant with unfinished orders</t>
        </is>
      </c>
      <c r="D13" s="8" t="inlineStr">
        <is>
          <t>State Transition</t>
        </is>
      </c>
      <c r="E13" s="8" t="inlineStr">
        <is>
          <t>Medium</t>
        </is>
      </c>
      <c r="F13" s="8" t="inlineStr">
        <is>
          <t>Logged in as Seller 1 (Approved). P-01 Natural-S is in a To Ship order.</t>
        </is>
      </c>
      <c r="G13" s="8" t="inlineStr">
        <is>
          <t>1. Delete the Natural-S row and save.
2. Open the To Ship order.</t>
        </is>
      </c>
      <c r="H13" s="8" t="inlineStr"/>
      <c r="I13" s="8" t="inlineStr">
        <is>
          <t>The delete is blocked with a message that the variant has unfinished orders. Natural-S stays on the product and the order can still be shipped.</t>
        </is>
      </c>
      <c r="J13" s="8" t="inlineStr">
        <is>
          <t>A19</t>
        </is>
      </c>
      <c r="K13" s="5" t="inlineStr">
        <is>
          <t xml:space="preserve">Product update deletes and recreates all supplied variants without checking for unfinished orders; the required protection against deleting an ordered variant is absent.</t>
        </is>
      </c>
      <c r="L13" s="5" t="inlineStr">
        <is>
          <t xml:space="preserve">Fail</t>
        </is>
      </c>
      <c r="M13" s="5" t="inlineStr">
        <is>
          <t xml:space="preserve">Implementation review: backend/app/Http/Controllers/Api/V1/SellerProductController.php:114. Required behavior in this case is absent or differs. This finding is not a claimed browser execution.</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SEL-INV-001</t>
        </is>
      </c>
      <c r="B2" s="8" t="inlineStr">
        <is>
          <t>Inventory &amp; Stock</t>
        </is>
      </c>
      <c r="C2" s="8" t="inlineStr">
        <is>
          <t>Stock deducted when a COD order is placed</t>
        </is>
      </c>
      <c r="D2" s="8" t="inlineStr">
        <is>
          <t>State Transition</t>
        </is>
      </c>
      <c r="E2" s="8" t="inlineStr">
        <is>
          <t>High</t>
        </is>
      </c>
      <c r="F2" s="8" t="inlineStr">
        <is>
          <t>Logged in as Seller 1 (Approved). P-02 stock is 20.</t>
        </is>
      </c>
      <c r="G2" s="8" t="inlineStr">
        <is>
          <t>1. As Buyer 1, order 2 × P-02 by COD.
2. As Seller 1, refresh P-02's stock.</t>
        </is>
      </c>
      <c r="H2" s="8" t="inlineStr">
        <is>
          <t>P-02 quantity 2</t>
        </is>
      </c>
      <c r="I2" s="8" t="inlineStr">
        <is>
          <t>Stock is exactly 18 immediately after the order is placed.</t>
        </is>
      </c>
      <c r="J2" s="8" t="inlineStr">
        <is>
          <t>A3</t>
        </is>
      </c>
      <c r="K2" s="5" t="inlineStr">
        <is>
          <t xml:space="preserve">P-02 set to stock 20; COD order 25 for quantity 2 returned 201; stock immediately 18.</t>
        </is>
      </c>
      <c r="L2" s="5" t="inlineStr">
        <is>
          <t xml:space="preserve">Pass</t>
        </is>
      </c>
      <c r="M2" s="5" t="inlineStr">
        <is>
          <t xml:space="preserve">Exact workbook product, quantity and 20-to-18 boundary tested.</t>
        </is>
      </c>
    </row>
    <row r="3" ht="42.25" customHeight="1">
      <c r="A3" s="7" t="inlineStr">
        <is>
          <t>SEL-INV-002</t>
        </is>
      </c>
      <c r="B3" s="8" t="inlineStr">
        <is>
          <t>Inventory &amp; Stock</t>
        </is>
      </c>
      <c r="C3" s="8" t="inlineStr">
        <is>
          <t>Stock deducted when an unpaid e-wallet order is placed</t>
        </is>
      </c>
      <c r="D3" s="8" t="inlineStr">
        <is>
          <t>State Transition</t>
        </is>
      </c>
      <c r="E3" s="8" t="inlineStr">
        <is>
          <t>High</t>
        </is>
      </c>
      <c r="F3" s="8" t="inlineStr">
        <is>
          <t>Logged in as Seller 1 (Approved). P-02 stock is 20.</t>
        </is>
      </c>
      <c r="G3" s="8" t="inlineStr">
        <is>
          <t>1. As Buyer 1, place an e-wallet order for 1 × P-02 but do not pay.
2. Check P-02's stock.</t>
        </is>
      </c>
      <c r="H3" s="8" t="inlineStr"/>
      <c r="I3" s="8" t="inlineStr">
        <is>
          <t>Stock is 19 while the order is To Pay.</t>
        </is>
      </c>
      <c r="J3" s="8" t="inlineStr">
        <is>
          <t>A3</t>
        </is>
      </c>
      <c r="K3" s="5" t="inlineStr">
        <is>
          <t xml:space="preserve">P-02 stock 20 → 19; unpaid GCash receipt order 26, HTTP 201, payment pending_verification.</t>
        </is>
      </c>
      <c r="L3" s="5" t="inlineStr">
        <is>
          <t xml:space="preserve">Pass</t>
        </is>
      </c>
      <c r="M3" s="5" t="inlineStr">
        <is>
          <t xml:space="preserve">Exact 20-to-19 stock reservation tested using current direct GCash workflow.</t>
        </is>
      </c>
    </row>
    <row r="4" ht="42.25" customHeight="1">
      <c r="A4" s="7" t="inlineStr">
        <is>
          <t>SEL-INV-003</t>
        </is>
      </c>
      <c r="B4" s="8" t="inlineStr">
        <is>
          <t>Inventory &amp; Stock</t>
        </is>
      </c>
      <c r="C4" s="8" t="inlineStr">
        <is>
          <t>Stock restored when the buyer cancels</t>
        </is>
      </c>
      <c r="D4" s="8" t="inlineStr">
        <is>
          <t>State Transition</t>
        </is>
      </c>
      <c r="E4" s="8" t="inlineStr">
        <is>
          <t>High</t>
        </is>
      </c>
      <c r="F4" s="8" t="inlineStr">
        <is>
          <t>Logged in as Seller 1 (Approved). A COD order for 2 × P-02 exists; stock is 18.</t>
        </is>
      </c>
      <c r="G4" s="8" t="inlineStr">
        <is>
          <t>1. As Buyer 1, cancel the order.
2. Check P-02's stock.</t>
        </is>
      </c>
      <c r="H4" s="8" t="inlineStr"/>
      <c r="I4" s="8" t="inlineStr">
        <is>
          <t>Stock returns to exactly 20.</t>
        </is>
      </c>
      <c r="J4" s="8" t="inlineStr">
        <is>
          <t>A3</t>
        </is>
      </c>
      <c r="K4" s="5" t="inlineStr">
        <is>
          <t xml:space="preserve">Could not complete stock restored when the buyer cancels: a buyer cancellation cannot be performed, so its stock-restoration side effect cannot be measured.</t>
        </is>
      </c>
      <c r="L4" s="5" t="inlineStr">
        <is>
          <t xml:space="preserve">Blocked</t>
        </is>
      </c>
      <c r="M4" s="5" t="inlineStr">
        <is>
          <t xml:space="preserve">Blocked prerequisite: BUY-CAN-001. The required setup/action was unavailable, so the dependent expected result was not verified. Evidence reviewed from the existing runtime/implementation findings; this status review did not rerun the system.</t>
        </is>
      </c>
    </row>
    <row r="5" ht="42.25" customHeight="1">
      <c r="A5" s="7" t="inlineStr">
        <is>
          <t>SEL-INV-004</t>
        </is>
      </c>
      <c r="B5" s="8" t="inlineStr">
        <is>
          <t>Inventory &amp; Stock</t>
        </is>
      </c>
      <c r="C5" s="8" t="inlineStr">
        <is>
          <t>Stock restored on auto-cancel of an unpaid order</t>
        </is>
      </c>
      <c r="D5" s="8" t="inlineStr">
        <is>
          <t>State Transition</t>
        </is>
      </c>
      <c r="E5" s="8" t="inlineStr">
        <is>
          <t>High</t>
        </is>
      </c>
      <c r="F5" s="8" t="inlineStr">
        <is>
          <t>Logged in as Seller 1 (Approved). An unpaid e-wallet order for 1 × P-02 exists; stock is 19.</t>
        </is>
      </c>
      <c r="G5" s="8" t="inlineStr">
        <is>
          <t>1. Wait 1 hour after the order was placed.
2. Check the order and P-02's stock.</t>
        </is>
      </c>
      <c r="H5" s="8" t="inlineStr"/>
      <c r="I5" s="8" t="inlineStr">
        <is>
          <t>The order is Cancelled (unpaid) and stock is back to 20.</t>
        </is>
      </c>
      <c r="J5" s="8" t="inlineStr">
        <is>
          <t>A3, A6</t>
        </is>
      </c>
      <c r="K5" s="5" t="inlineStr">
        <is>
          <t xml:space="preserve">Could not complete stock restored on auto-cancel of an unpaid order: the specified unpaid order auto-cancellation cannot occur, so stock restoration at that event cannot be observed.</t>
        </is>
      </c>
      <c r="L5" s="5" t="inlineStr">
        <is>
          <t xml:space="preserve">Blocked</t>
        </is>
      </c>
      <c r="M5" s="5" t="inlineStr">
        <is>
          <t xml:space="preserve">Blocked prerequisite: BUY-PAY-006. The required setup/action was unavailable, so the dependent expected result was not verified. Evidence reviewed from the existing runtime/implementation findings; this status review did not rerun the system.</t>
        </is>
      </c>
    </row>
    <row r="6" ht="42.25" customHeight="1">
      <c r="A6" s="7" t="inlineStr">
        <is>
          <t>SEL-INV-005</t>
        </is>
      </c>
      <c r="B6" s="8" t="inlineStr">
        <is>
          <t>Inventory &amp; Stock</t>
        </is>
      </c>
      <c r="C6" s="8" t="inlineStr">
        <is>
          <t>Stock per variant</t>
        </is>
      </c>
      <c r="D6" s="8" t="inlineStr">
        <is>
          <t>Equivalence Partitioning</t>
        </is>
      </c>
      <c r="E6" s="8" t="inlineStr">
        <is>
          <t>High</t>
        </is>
      </c>
      <c r="F6" s="8" t="inlineStr">
        <is>
          <t>Logged in as Seller 1 (Approved). P-01 Natural-M stock is 8, Natural-L is 5.</t>
        </is>
      </c>
      <c r="G6" s="8" t="inlineStr">
        <is>
          <t>1. As Buyer 1, order 1 × Natural-M.
2. Check every P-01 variant's stock.</t>
        </is>
      </c>
      <c r="H6" s="8" t="inlineStr"/>
      <c r="I6" s="8" t="inlineStr">
        <is>
          <t>Natural-M is 7. Every other variant is unchanged.</t>
        </is>
      </c>
      <c r="J6" s="8" t="inlineStr">
        <is>
          <t>A3</t>
        </is>
      </c>
      <c r="K6" s="5" t="inlineStr">
        <is>
          <t xml:space="preserve">Natural/M stock 8 → 7; checkout 201; other variants unchanged true.</t>
        </is>
      </c>
      <c r="L6" s="5" t="inlineStr">
        <is>
          <t xml:space="preserve">Pass</t>
        </is>
      </c>
      <c r="M6" s="5" t="inlineStr">
        <is>
          <t xml:space="preserve">Tested through the local system API on isolated velure_blackbox; judged against the workbook expected result.</t>
        </is>
      </c>
    </row>
    <row r="7" ht="55" customHeight="1">
      <c r="A7" s="7" t="inlineStr">
        <is>
          <t>SEL-INV-006</t>
        </is>
      </c>
      <c r="B7" s="8" t="inlineStr">
        <is>
          <t>Inventory &amp; Stock</t>
        </is>
      </c>
      <c r="C7" s="8" t="inlineStr">
        <is>
          <t>Overselling: 1 left, 2 buyers check out at once</t>
        </is>
      </c>
      <c r="D7" s="8" t="inlineStr">
        <is>
          <t>Error Guessing</t>
        </is>
      </c>
      <c r="E7" s="8" t="inlineStr">
        <is>
          <t>High</t>
        </is>
      </c>
      <c r="F7" s="8" t="inlineStr">
        <is>
          <t>P-03 stock is 1. Buyer 1 and Buyer 2 each have P-03 in the cart on separate devices, both on the checkout page.</t>
        </is>
      </c>
      <c r="G7" s="8" t="inlineStr">
        <is>
          <t>1. Both buyers click Place Order at the same moment (count down together).
2. Check both buyers' orders and P-03's stock.</t>
        </is>
      </c>
      <c r="H7" s="8" t="inlineStr">
        <is>
          <t>P-03 Capiz Shell Lamp, stock 1</t>
        </is>
      </c>
      <c r="I7" s="8" t="inlineStr">
        <is>
          <t>Exactly one order is created. The other buyer gets an out-of-stock message and has no order and no charge. Stock is 0, never −1.</t>
        </is>
      </c>
      <c r="J7" s="8" t="inlineStr">
        <is>
          <t>A3</t>
        </is>
      </c>
      <c r="K7" s="5" t="inlineStr">
        <is>
          <t xml:space="preserve">Concurrent buyers on stock=1 returned 201,422; orders 9,none; remaining stock 0.</t>
        </is>
      </c>
      <c r="L7" s="5" t="inlineStr">
        <is>
          <t xml:space="preserve">Pass</t>
        </is>
      </c>
      <c r="M7" s="5" t="inlineStr">
        <is>
          <t xml:space="preserve">Two requests issued concurrently; MySQL stock rows are locked by checkout.</t>
        </is>
      </c>
    </row>
    <row r="8" ht="55" customHeight="1">
      <c r="A8" s="7" t="inlineStr">
        <is>
          <t>SEL-INV-007</t>
        </is>
      </c>
      <c r="B8" s="8" t="inlineStr">
        <is>
          <t>Inventory &amp; Stock</t>
        </is>
      </c>
      <c r="C8" s="8" t="inlineStr">
        <is>
          <t>Automatic Sold out status</t>
        </is>
      </c>
      <c r="D8" s="8" t="inlineStr">
        <is>
          <t>State Transition</t>
        </is>
      </c>
      <c r="E8" s="8" t="inlineStr">
        <is>
          <t>Medium</t>
        </is>
      </c>
      <c r="F8" s="8" t="inlineStr">
        <is>
          <t>P-07 (Seller 2) stock is set to 1.</t>
        </is>
      </c>
      <c r="G8" s="8" t="inlineStr">
        <is>
          <t>1. As Buyer 1, buy the last unit.
2. As Buyer 2, open P-07 and search for it.
3. As Seller 2, open the product list.</t>
        </is>
      </c>
      <c r="H8" s="8" t="inlineStr">
        <is>
          <t>P-07</t>
        </is>
      </c>
      <c r="I8" s="8" t="inlineStr">
        <is>
          <t>Buyer 2 sees 'Sold out' with Add to Cart and Buy Now disabled. Seller 2's list shows Out of Stock.</t>
        </is>
      </c>
      <c r="J8" s="8" t="inlineStr"/>
      <c r="K8" s="5" t="inlineStr">
        <is>
          <t xml:space="preserve">Bought last five P-07 units, order 11; public variant stock total 0. Frontend soldOut uses total/selected variant stock &lt;=0 to disable buying; seller Out of Stock tab uses total_stock.</t>
        </is>
      </c>
      <c r="L8" s="5" t="inlineStr">
        <is>
          <t xml:space="preserve">Pass</t>
        </is>
      </c>
      <c r="M8" s="5" t="inlineStr">
        <is>
          <t xml:space="preserve">Actual stock deduction checked; buyer/seller zero-stock render conditions inspected.</t>
        </is>
      </c>
    </row>
    <row r="9" ht="42.25" customHeight="1">
      <c r="A9" s="7" t="inlineStr">
        <is>
          <t>SEL-INV-008</t>
        </is>
      </c>
      <c r="B9" s="8" t="inlineStr">
        <is>
          <t>Inventory &amp; Stock</t>
        </is>
      </c>
      <c r="C9" s="8" t="inlineStr">
        <is>
          <t>Low-stock alert at the threshold</t>
        </is>
      </c>
      <c r="D9" s="8" t="inlineStr">
        <is>
          <t>Boundary Value Analysis</t>
        </is>
      </c>
      <c r="E9" s="8" t="inlineStr">
        <is>
          <t>Medium</t>
        </is>
      </c>
      <c r="F9" s="8" t="inlineStr">
        <is>
          <t>Logged in as Seller 1 (Approved). P-02 stock is 7.</t>
        </is>
      </c>
      <c r="G9" s="8" t="inlineStr">
        <is>
          <t>1. Sell 1 unit (stock 6) and check alerts.
2. Sell 1 more (stock 5) and check alerts.
3. Sell 1 more (stock 4) and check alerts.</t>
        </is>
      </c>
      <c r="H9" s="8" t="inlineStr">
        <is>
          <t>Threshold 5</t>
        </is>
      </c>
      <c r="I9" s="8" t="inlineStr">
        <is>
          <t>No alert at 6. Exactly one alert at 5. No new alert at 4 (once per crossing).</t>
        </is>
      </c>
      <c r="J9" s="8" t="inlineStr">
        <is>
          <t>A29</t>
        </is>
      </c>
      <c r="K9" s="5" t="inlineStr">
        <is>
          <t xml:space="preserve">The buyer page can show low stock text, but no seller low-stock threshold configuration or once-per-crossing alert workflow is registered. The 6-to-5-to-4 alert behavior cannot be exercised.</t>
        </is>
      </c>
      <c r="L9" s="5" t="inlineStr">
        <is>
          <t xml:space="preserve">Fail</t>
        </is>
      </c>
      <c r="M9" s="5" t="inlineStr">
        <is>
          <t xml:space="preserve">Implementation review: backend/routes/api.php:329. Required behavior in this case is absent or differs. This finding is not a claimed browser execution.</t>
        </is>
      </c>
    </row>
    <row r="10" ht="80.5" customHeight="1">
      <c r="A10" s="7" t="inlineStr">
        <is>
          <t>SEL-INV-009</t>
        </is>
      </c>
      <c r="B10" s="8" t="inlineStr">
        <is>
          <t>Inventory &amp; Stock</t>
        </is>
      </c>
      <c r="C10" s="8" t="inlineStr">
        <is>
          <t>Manual stock adjustment</t>
        </is>
      </c>
      <c r="D10" s="8" t="inlineStr">
        <is>
          <t>Boundary Value Analysis</t>
        </is>
      </c>
      <c r="E10" s="8" t="inlineStr">
        <is>
          <t>High</t>
        </is>
      </c>
      <c r="F10" s="8" t="inlineStr">
        <is>
          <t>Logged in as Seller 1 (Approved).</t>
        </is>
      </c>
      <c r="G10" s="8" t="inlineStr">
        <is>
          <t>1. Set P-02 stock to each value, one per attempt, and save.</t>
        </is>
      </c>
      <c r="H10" s="8" t="inlineStr">
        <is>
          <t>-1 (reject)
0 (accept)
99,999 (accept)
100,000 (reject)
2.5 (reject)
abc (reject)</t>
        </is>
      </c>
      <c r="I10" s="8" t="inlineStr">
        <is>
          <t>Only 0 and 99,999 are saved. Each invalid value shows a message and the previous stock is kept.</t>
        </is>
      </c>
      <c r="J10" s="8" t="inlineStr">
        <is>
          <t>A17</t>
        </is>
      </c>
      <c r="K10" s="5" t="inlineStr">
        <is>
          <t xml:space="preserve">Manual stock adjustment to 100,000 returned 200; saved total stock 100000. Expected maximum is 99,999.</t>
        </is>
      </c>
      <c r="L10" s="5" t="inlineStr">
        <is>
          <t xml:space="preserve">Fail</t>
        </is>
      </c>
      <c r="M10" s="5" t="inlineStr">
        <is>
          <t xml:space="preserve">Tested through the local system API on isolated velure_blackbox; judged against the workbook expected result.</t>
        </is>
      </c>
    </row>
    <row r="11" ht="42.25" customHeight="1">
      <c r="A11" s="7" t="inlineStr">
        <is>
          <t>SEL-INV-010</t>
        </is>
      </c>
      <c r="B11" s="8" t="inlineStr">
        <is>
          <t>Inventory &amp; Stock</t>
        </is>
      </c>
      <c r="C11" s="8" t="inlineStr">
        <is>
          <t>Reduce stock below the quantity in a cart</t>
        </is>
      </c>
      <c r="D11" s="8" t="inlineStr">
        <is>
          <t>Error Guessing</t>
        </is>
      </c>
      <c r="E11" s="8" t="inlineStr">
        <is>
          <t>Medium</t>
        </is>
      </c>
      <c r="F11" s="8" t="inlineStr">
        <is>
          <t>Logged in as Seller 1 (Approved). Buyer 1 has 5 × P-02 in the cart.</t>
        </is>
      </c>
      <c r="G11" s="8" t="inlineStr">
        <is>
          <t>1. Set P-02 stock to 3.
2. As Buyer 1, open the cart and click Check Out.</t>
        </is>
      </c>
      <c r="H11" s="8" t="inlineStr">
        <is>
          <t>Stock 3, cart quantity 5</t>
        </is>
      </c>
      <c r="I11" s="8" t="inlineStr">
        <is>
          <t>The cart shows 'Only 3 left' and blocks checkout until the quantity is 3 or fewer. No order for 5 units can be placed.</t>
        </is>
      </c>
      <c r="J11" s="8" t="inlineStr"/>
      <c r="K11" s="5" t="inlineStr">
        <is>
          <t xml:space="preserve">Stock reduced to 3: checkout of 5 returned 422: Insufficient stock for Rattan Fruit Basket (Standard). Server protection works, but the existing cart line is not revalidated and shows no Only 3 left warning.</t>
        </is>
      </c>
      <c r="L11" s="5" t="inlineStr">
        <is>
          <t xml:space="preserve">Fail</t>
        </is>
      </c>
      <c r="M11" s="5" t="inlineStr">
        <is>
          <t xml:space="preserve">API oversize checkout verified; missing cart notice/selection protection independently reviewed.</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SEL-DISC-001</t>
        </is>
      </c>
      <c r="B2" s="8" t="inlineStr">
        <is>
          <t>Product Discounts &amp; Sales</t>
        </is>
      </c>
      <c r="C2" s="8" t="inlineStr">
        <is>
          <t>Create a scheduled percentage sale</t>
        </is>
      </c>
      <c r="D2" s="8" t="inlineStr">
        <is>
          <t>Use Case Testing</t>
        </is>
      </c>
      <c r="E2" s="8" t="inlineStr">
        <is>
          <t>High</t>
        </is>
      </c>
      <c r="F2" s="8" t="inlineStr">
        <is>
          <t>Logged in as Seller 1 (Approved).</t>
        </is>
      </c>
      <c r="G2" s="8" t="inlineStr">
        <is>
          <t>1. Create a sale for P-02 at 20% off.
2. Set start 10 minutes from now and end 2 hours from now.
3. Save.
4. As Buyer 1, open P-02 before the start time.</t>
        </is>
      </c>
      <c r="H2" s="8" t="inlineStr">
        <is>
          <t>P-02 ₱450.00 → ₱360.00</t>
        </is>
      </c>
      <c r="I2" s="8" t="inlineStr">
        <is>
          <t>The sale is listed as Upcoming with the exact times. Before the start, buyers see ₱450.00 and no badge.</t>
        </is>
      </c>
      <c r="J2" s="8" t="inlineStr">
        <is>
          <t>A28</t>
        </is>
      </c>
      <c r="K2" s="5" t="inlineStr">
        <is>
          <t xml:space="preserve">Discounts are applied immediately through discount_percent. There are no start/end timestamps or scheduled-sale records in this product update flow; the scheduled sale required by this case cannot be configured.</t>
        </is>
      </c>
      <c r="L2" s="5" t="inlineStr">
        <is>
          <t xml:space="preserve">Fail</t>
        </is>
      </c>
      <c r="M2" s="5" t="inlineStr">
        <is>
          <t xml:space="preserve">Implementation review: backend/app/Http/Controllers/Api/V1/SellerProductController.php:126. Required behavior in this case is absent or differs. This finding is not a claimed browser execution.</t>
        </is>
      </c>
    </row>
    <row r="3" ht="67.75" customHeight="1">
      <c r="A3" s="7" t="inlineStr">
        <is>
          <t>SEL-DISC-002</t>
        </is>
      </c>
      <c r="B3" s="8" t="inlineStr">
        <is>
          <t>Product Discounts &amp; Sales</t>
        </is>
      </c>
      <c r="C3" s="8" t="inlineStr">
        <is>
          <t>Sale goes live at the exact start time</t>
        </is>
      </c>
      <c r="D3" s="8" t="inlineStr">
        <is>
          <t>State Transition</t>
        </is>
      </c>
      <c r="E3" s="8" t="inlineStr">
        <is>
          <t>High</t>
        </is>
      </c>
      <c r="F3" s="8" t="inlineStr">
        <is>
          <t>The sale above is Upcoming.</t>
        </is>
      </c>
      <c r="G3" s="8" t="inlineStr">
        <is>
          <t>1. As Buyer 1, open P-02 one minute before the start time.
2. Refresh one minute after the start time.
3. Add P-02 to the cart and open checkout.</t>
        </is>
      </c>
      <c r="H3" s="8" t="inlineStr"/>
      <c r="I3" s="8" t="inlineStr">
        <is>
          <t>Before: ₱450.00. After: ₱360.00 with ₱450.00 struck through and a −20% badge. Cart and checkout also show ₱360.00.</t>
        </is>
      </c>
      <c r="J3" s="8" t="inlineStr"/>
      <c r="K3" s="5" t="inlineStr">
        <is>
          <t xml:space="preserve">Could not complete sale goes live at the exact start time: the scheduled-sale editor/record is unavailable. No Upcoming/Ongoing sale, sale timestamps or scheduled-sale validation input exists for this case.</t>
        </is>
      </c>
      <c r="L3" s="5" t="inlineStr">
        <is>
          <t xml:space="preserve">Blocked</t>
        </is>
      </c>
      <c r="M3"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4" ht="55" customHeight="1">
      <c r="A4" s="7" t="inlineStr">
        <is>
          <t>SEL-DISC-003</t>
        </is>
      </c>
      <c r="B4" s="8" t="inlineStr">
        <is>
          <t>Product Discounts &amp; Sales</t>
        </is>
      </c>
      <c r="C4" s="8" t="inlineStr">
        <is>
          <t>Sale ends at the exact end time</t>
        </is>
      </c>
      <c r="D4" s="8" t="inlineStr">
        <is>
          <t>State Transition</t>
        </is>
      </c>
      <c r="E4" s="8" t="inlineStr">
        <is>
          <t>High</t>
        </is>
      </c>
      <c r="F4" s="8" t="inlineStr">
        <is>
          <t>The sale is Ongoing. Buyer 1 has P-02 in the cart.</t>
        </is>
      </c>
      <c r="G4" s="8" t="inlineStr">
        <is>
          <t>1. Open P-02 one minute before the end time.
2. Refresh one minute after the end time.
3. Refresh the cart and checkout.</t>
        </is>
      </c>
      <c r="H4" s="8" t="inlineStr"/>
      <c r="I4" s="8" t="inlineStr">
        <is>
          <t>After the end time the price is ₱450.00 everywhere: product page, search card, cart and checkout. The badge and struck-through price are gone.</t>
        </is>
      </c>
      <c r="J4" s="8" t="inlineStr"/>
      <c r="K4" s="5" t="inlineStr">
        <is>
          <t xml:space="preserve">Could not complete sale ends at the exact end time: the scheduled-sale editor/record is unavailable. No Upcoming/Ongoing sale, sale timestamps or scheduled-sale validation input exists for this case.</t>
        </is>
      </c>
      <c r="L4" s="5" t="inlineStr">
        <is>
          <t xml:space="preserve">Blocked</t>
        </is>
      </c>
      <c r="M4"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5" ht="42.25" customHeight="1">
      <c r="A5" s="7" t="inlineStr">
        <is>
          <t>SEL-DISC-004</t>
        </is>
      </c>
      <c r="B5" s="8" t="inlineStr">
        <is>
          <t>Product Discounts &amp; Sales</t>
        </is>
      </c>
      <c r="C5" s="8" t="inlineStr">
        <is>
          <t>Invalid sale dates</t>
        </is>
      </c>
      <c r="D5" s="8" t="inlineStr">
        <is>
          <t>Equivalence Partitioning</t>
        </is>
      </c>
      <c r="E5" s="8" t="inlineStr">
        <is>
          <t>High</t>
        </is>
      </c>
      <c r="F5" s="8" t="inlineStr">
        <is>
          <t>Logged in as Seller 1 (Approved).</t>
        </is>
      </c>
      <c r="G5" s="8" t="inlineStr">
        <is>
          <t>1. Try to save a sale with each date combination.</t>
        </is>
      </c>
      <c r="H5" s="8" t="inlineStr">
        <is>
          <t>End before start (reject)
Start = end (reject)
Start in the past (reject)</t>
        </is>
      </c>
      <c r="I5" s="8" t="inlineStr">
        <is>
          <t>Each is rejected with a date message. No sale is created.</t>
        </is>
      </c>
      <c r="J5" s="8" t="inlineStr"/>
      <c r="K5" s="5" t="inlineStr">
        <is>
          <t xml:space="preserve">Could not complete invalid sale dates: the scheduled-sale editor/record is unavailable. No Upcoming/Ongoing sale, sale timestamps or scheduled-sale validation input exists for this case.</t>
        </is>
      </c>
      <c r="L5" s="5" t="inlineStr">
        <is>
          <t xml:space="preserve">Blocked</t>
        </is>
      </c>
      <c r="M5"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6" ht="106" customHeight="1">
      <c r="A6" s="7" t="inlineStr">
        <is>
          <t>SEL-DISC-005</t>
        </is>
      </c>
      <c r="B6" s="8" t="inlineStr">
        <is>
          <t>Product Discounts &amp; Sales</t>
        </is>
      </c>
      <c r="C6" s="8" t="inlineStr">
        <is>
          <t>Discount percentage at the limits</t>
        </is>
      </c>
      <c r="D6" s="8" t="inlineStr">
        <is>
          <t>Boundary Value Analysis</t>
        </is>
      </c>
      <c r="E6" s="8" t="inlineStr">
        <is>
          <t>High</t>
        </is>
      </c>
      <c r="F6" s="8" t="inlineStr">
        <is>
          <t>Logged in as Seller 1 (Approved).</t>
        </is>
      </c>
      <c r="G6" s="8" t="inlineStr">
        <is>
          <t>1. Enter each discount for P-02, one per attempt, and save.</t>
        </is>
      </c>
      <c r="H6" s="8" t="inlineStr">
        <is>
          <t>0% (reject)
1% (accept, ₱445.50)
99% (accept, ₱4.50)
100% (reject)
101% (reject)
-5% (reject)
10.5% (reject unless decimals are supported)</t>
        </is>
      </c>
      <c r="I6" s="8" t="inlineStr">
        <is>
          <t>Only whole percentages from 1% to 99% are accepted, and the preview shows the exact sale price.</t>
        </is>
      </c>
      <c r="J6" s="8" t="inlineStr"/>
      <c r="K6" s="5" t="inlineStr">
        <is>
          <t xml:space="preserve">Could not complete discount percentage at the limits: the scheduled-sale editor/record is unavailable. No Upcoming/Ongoing sale, sale timestamps or scheduled-sale validation input exists for this case.</t>
        </is>
      </c>
      <c r="L6" s="5" t="inlineStr">
        <is>
          <t xml:space="preserve">Blocked</t>
        </is>
      </c>
      <c r="M6"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7" ht="67.75" customHeight="1">
      <c r="A7" s="7" t="inlineStr">
        <is>
          <t>SEL-DISC-006</t>
        </is>
      </c>
      <c r="B7" s="8" t="inlineStr">
        <is>
          <t>Product Discounts &amp; Sales</t>
        </is>
      </c>
      <c r="C7" s="8" t="inlineStr">
        <is>
          <t>Fixed sale price at or above the original</t>
        </is>
      </c>
      <c r="D7" s="8" t="inlineStr">
        <is>
          <t>Boundary Value Analysis</t>
        </is>
      </c>
      <c r="E7" s="8" t="inlineStr">
        <is>
          <t>Medium</t>
        </is>
      </c>
      <c r="F7" s="8" t="inlineStr">
        <is>
          <t>Logged in as Seller 1 (Approved).</t>
        </is>
      </c>
      <c r="G7" s="8" t="inlineStr">
        <is>
          <t>1. Set a fixed sale price for P-02, one per attempt.</t>
        </is>
      </c>
      <c r="H7" s="8" t="inlineStr">
        <is>
          <t>₱450.01 (reject)
₱450.00 (reject)
₱449.99 (accept)
₱0.99 (reject)
₱1.00 (accept)</t>
        </is>
      </c>
      <c r="I7" s="8" t="inlineStr">
        <is>
          <t>Only prices from ₱1.00 up to below ₱450.00 are accepted.</t>
        </is>
      </c>
      <c r="J7" s="8" t="inlineStr">
        <is>
          <t>A17</t>
        </is>
      </c>
      <c r="K7" s="5" t="inlineStr">
        <is>
          <t xml:space="preserve">Could not complete fixed sale price at or above the original: the scheduled-sale editor/record is unavailable. No Upcoming/Ongoing sale, sale timestamps or scheduled-sale validation input exists for this case.</t>
        </is>
      </c>
      <c r="L7" s="5" t="inlineStr">
        <is>
          <t xml:space="preserve">Blocked</t>
        </is>
      </c>
      <c r="M7"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8" ht="42.25" customHeight="1">
      <c r="A8" s="7" t="inlineStr">
        <is>
          <t>SEL-DISC-007</t>
        </is>
      </c>
      <c r="B8" s="8" t="inlineStr">
        <is>
          <t>Product Discounts &amp; Sales</t>
        </is>
      </c>
      <c r="C8" s="8" t="inlineStr">
        <is>
          <t>Overlapping sales on the same product</t>
        </is>
      </c>
      <c r="D8" s="8" t="inlineStr">
        <is>
          <t>Equivalence Partitioning</t>
        </is>
      </c>
      <c r="E8" s="8" t="inlineStr">
        <is>
          <t>High</t>
        </is>
      </c>
      <c r="F8" s="8" t="inlineStr">
        <is>
          <t>Logged in as Seller 1 (Approved). P-02 has a sale today 13:00–15:00.</t>
        </is>
      </c>
      <c r="G8" s="8" t="inlineStr">
        <is>
          <t>1. Create another sale for P-02 today 14:00–16:00.</t>
        </is>
      </c>
      <c r="H8" s="8" t="inlineStr"/>
      <c r="I8" s="8" t="inlineStr">
        <is>
          <t>Rejected with a message that P-02 already has a sale in that period.</t>
        </is>
      </c>
      <c r="J8" s="8" t="inlineStr">
        <is>
          <t>A28</t>
        </is>
      </c>
      <c r="K8" s="5" t="inlineStr">
        <is>
          <t xml:space="preserve">Could not complete overlapping sales on the same product: the scheduled-sale editor/record is unavailable. No Upcoming/Ongoing sale, sale timestamps or scheduled-sale validation input exists for this case.</t>
        </is>
      </c>
      <c r="L8" s="5" t="inlineStr">
        <is>
          <t xml:space="preserve">Blocked</t>
        </is>
      </c>
      <c r="M8"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9" ht="42.25" customHeight="1">
      <c r="A9" s="7" t="inlineStr">
        <is>
          <t>SEL-DISC-008</t>
        </is>
      </c>
      <c r="B9" s="8" t="inlineStr">
        <is>
          <t>Product Discounts &amp; Sales</t>
        </is>
      </c>
      <c r="C9" s="8" t="inlineStr">
        <is>
          <t>Sale on a product with variants</t>
        </is>
      </c>
      <c r="D9" s="8" t="inlineStr">
        <is>
          <t>Equivalence Partitioning</t>
        </is>
      </c>
      <c r="E9" s="8" t="inlineStr">
        <is>
          <t>Medium</t>
        </is>
      </c>
      <c r="F9" s="8" t="inlineStr">
        <is>
          <t>Logged in as Seller 1 (Approved).</t>
        </is>
      </c>
      <c r="G9" s="8" t="inlineStr">
        <is>
          <t>1. Put P-01 on 10% off.
2. As Buyer 1, select each size of Natural.</t>
        </is>
      </c>
      <c r="H9" s="8" t="inlineStr">
        <is>
          <t>P-01 S ₱199, M ₱249, L ₱299</t>
        </is>
      </c>
      <c r="I9" s="8" t="inlineStr">
        <is>
          <t>Prices show ₱179.10, ₱224.10 and ₱269.10, and the range is ₱179.10 – ₱269.10.</t>
        </is>
      </c>
      <c r="J9" s="8" t="inlineStr"/>
      <c r="K9" s="5" t="inlineStr">
        <is>
          <t xml:space="preserve">Could not complete sale on a product with variants: the scheduled-sale editor/record is unavailable. No Upcoming/Ongoing sale, sale timestamps or scheduled-sale validation input exists for this case.</t>
        </is>
      </c>
      <c r="L9" s="5" t="inlineStr">
        <is>
          <t xml:space="preserve">Blocked</t>
        </is>
      </c>
      <c r="M9"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10" ht="42.25" customHeight="1">
      <c r="A10" s="7" t="inlineStr">
        <is>
          <t>SEL-DISC-009</t>
        </is>
      </c>
      <c r="B10" s="8" t="inlineStr">
        <is>
          <t>Product Discounts &amp; Sales</t>
        </is>
      </c>
      <c r="C10" s="8" t="inlineStr">
        <is>
          <t>Edit a running sale</t>
        </is>
      </c>
      <c r="D10" s="8" t="inlineStr">
        <is>
          <t>State Transition</t>
        </is>
      </c>
      <c r="E10" s="8" t="inlineStr">
        <is>
          <t>Medium</t>
        </is>
      </c>
      <c r="F10" s="8" t="inlineStr">
        <is>
          <t>A 20% sale on P-02 is Ongoing. Buyer 1 placed an order at ₱360.00 during it.</t>
        </is>
      </c>
      <c r="G10" s="8" t="inlineStr">
        <is>
          <t>1. Change the discount to 30% and save.
2. As Buyer 2, open P-02.
3. Open Buyer 1's earlier order.</t>
        </is>
      </c>
      <c r="H10" s="8" t="inlineStr"/>
      <c r="I10" s="8" t="inlineStr">
        <is>
          <t>Buyer 2 sees ₱315.00 immediately. Buyer 1's earlier order still shows ₱360.00.</t>
        </is>
      </c>
      <c r="J10" s="8" t="inlineStr">
        <is>
          <t>A28</t>
        </is>
      </c>
      <c r="K10" s="5" t="inlineStr">
        <is>
          <t xml:space="preserve">Could not complete edit a running sale: the scheduled-sale editor/record is unavailable. No Upcoming/Ongoing sale, sale timestamps or scheduled-sale validation input exists for this case.</t>
        </is>
      </c>
      <c r="L10" s="5" t="inlineStr">
        <is>
          <t xml:space="preserve">Blocked</t>
        </is>
      </c>
      <c r="M10"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row r="11" ht="29.5" customHeight="1">
      <c r="A11" s="7" t="inlineStr">
        <is>
          <t>SEL-DISC-010</t>
        </is>
      </c>
      <c r="B11" s="8" t="inlineStr">
        <is>
          <t>Product Discounts &amp; Sales</t>
        </is>
      </c>
      <c r="C11" s="8" t="inlineStr">
        <is>
          <t>End a running sale now</t>
        </is>
      </c>
      <c r="D11" s="8" t="inlineStr">
        <is>
          <t>State Transition</t>
        </is>
      </c>
      <c r="E11" s="8" t="inlineStr">
        <is>
          <t>Medium</t>
        </is>
      </c>
      <c r="F11" s="8" t="inlineStr">
        <is>
          <t>The sale is Ongoing.</t>
        </is>
      </c>
      <c r="G11" s="8" t="inlineStr">
        <is>
          <t>1. Click End Now and confirm.
2. As Buyer 1, refresh P-02 and the cart.</t>
        </is>
      </c>
      <c r="H11" s="8" t="inlineStr"/>
      <c r="I11" s="8" t="inlineStr">
        <is>
          <t>The sale shows Ended and buyers see ₱450.00 at once in every view.</t>
        </is>
      </c>
      <c r="J11" s="8" t="inlineStr">
        <is>
          <t>A28</t>
        </is>
      </c>
      <c r="K11" s="5" t="inlineStr">
        <is>
          <t xml:space="preserve">Could not complete end a running sale now: the scheduled-sale editor/record is unavailable. No Upcoming/Ongoing sale, sale timestamps or scheduled-sale validation input exists for this case.</t>
        </is>
      </c>
      <c r="L11" s="5" t="inlineStr">
        <is>
          <t xml:space="preserve">Blocked</t>
        </is>
      </c>
      <c r="M11" s="5" t="inlineStr">
        <is>
          <t xml:space="preserve">Blocked prerequisite: SEL-DISC-001. The required setup/action was unavailable, so the dependent expected result was not verified. Evidence reviewed from the existing runtime/implementation findings; this status review did not rerun the system.</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106" customHeight="1">
      <c r="A2" s="7" t="inlineStr">
        <is>
          <t>SEL-VOU-001</t>
        </is>
      </c>
      <c r="B2" s="8" t="inlineStr">
        <is>
          <t>Store Vouchers</t>
        </is>
      </c>
      <c r="C2" s="8" t="inlineStr">
        <is>
          <t>Create a fixed-amount claimable voucher</t>
        </is>
      </c>
      <c r="D2" s="8" t="inlineStr">
        <is>
          <t>Use Case Testing</t>
        </is>
      </c>
      <c r="E2" s="8" t="inlineStr">
        <is>
          <t>High</t>
        </is>
      </c>
      <c r="F2" s="8" t="inlineStr">
        <is>
          <t>Logged in as Seller 1 (Approved).</t>
        </is>
      </c>
      <c r="G2" s="8" t="inlineStr">
        <is>
          <t>1. Create a voucher with the test data.
2. Save.
3. As Buyer 1, open Seller 1's store page and P-02.</t>
        </is>
      </c>
      <c r="H2" s="8" t="inlineStr">
        <is>
          <t>Code: MCH50
Type: Fixed ₱50 off
Min spend: ₱300
Total usage: 100
Per buyer: 1
Valid: this month
Applies to: all products
Display: claimable</t>
        </is>
      </c>
      <c r="I2" s="8" t="inlineStr">
        <is>
          <t>The voucher is saved as Ongoing. The store page and P-02's page show 'Claim ₱50 off, min. spend ₱300' with a Claim button.</t>
        </is>
      </c>
      <c r="J2" s="8" t="inlineStr"/>
      <c r="K2" s="5" t="inlineStr">
        <is>
          <t xml:space="preserve">There is no seller voucher management route or voucher editor. The code, claiming, product restrictions or usage behavior in this case is unavailable.</t>
        </is>
      </c>
      <c r="L2" s="5" t="inlineStr">
        <is>
          <t xml:space="preserve">Fail</t>
        </is>
      </c>
      <c r="M2" s="5" t="inlineStr">
        <is>
          <t xml:space="preserve">Implementation review: backend/routes/api.php:333. Required behavior in this case is absent or differs. This finding is not a claimed browser execution.</t>
        </is>
      </c>
    </row>
    <row r="3" ht="42.25" customHeight="1">
      <c r="A3" s="7" t="inlineStr">
        <is>
          <t>SEL-VOU-002</t>
        </is>
      </c>
      <c r="B3" s="8" t="inlineStr">
        <is>
          <t>Store Vouchers</t>
        </is>
      </c>
      <c r="C3" s="8" t="inlineStr">
        <is>
          <t>Create a percentage voucher with a cap</t>
        </is>
      </c>
      <c r="D3" s="8" t="inlineStr">
        <is>
          <t>Use Case Testing</t>
        </is>
      </c>
      <c r="E3" s="8" t="inlineStr">
        <is>
          <t>High</t>
        </is>
      </c>
      <c r="F3" s="8" t="inlineStr">
        <is>
          <t>Logged in as Seller 1 (Approved).</t>
        </is>
      </c>
      <c r="G3" s="8" t="inlineStr">
        <is>
          <t>1. Create MCH10 with the test data.
2. As Buyer 1, claim it and check out ₱600 of Seller 1 items, then ₱1,250 (P-03).</t>
        </is>
      </c>
      <c r="H3" s="8" t="inlineStr">
        <is>
          <t>MCH10: 10% off, cap ₱100, min spend ₱500</t>
        </is>
      </c>
      <c r="I3" s="8" t="inlineStr">
        <is>
          <t>The ₱600 checkout gets exactly ₱60.00 off. The ₱1,250 checkout gets exactly ₱100.00 off (not ₱125.00).</t>
        </is>
      </c>
      <c r="J3" s="8" t="inlineStr"/>
      <c r="K3" s="5" t="inlineStr">
        <is>
          <t xml:space="preserve">Could not complete create a percentage voucher with a cap: no seller voucher can be created/opened. The required voucher fields, existing/claimed voucher or usage record cannot be prepared.</t>
        </is>
      </c>
      <c r="L3" s="5" t="inlineStr">
        <is>
          <t xml:space="preserve">Blocked</t>
        </is>
      </c>
      <c r="M3"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4" ht="67.75" customHeight="1">
      <c r="A4" s="7" t="inlineStr">
        <is>
          <t>SEL-VOU-003</t>
        </is>
      </c>
      <c r="B4" s="8" t="inlineStr">
        <is>
          <t>Store Vouchers</t>
        </is>
      </c>
      <c r="C4" s="8" t="inlineStr">
        <is>
          <t>Code-only voucher is hidden</t>
        </is>
      </c>
      <c r="D4" s="8" t="inlineStr">
        <is>
          <t>Equivalence Partitioning</t>
        </is>
      </c>
      <c r="E4" s="8" t="inlineStr">
        <is>
          <t>Medium</t>
        </is>
      </c>
      <c r="F4" s="8" t="inlineStr">
        <is>
          <t>Logged in as Seller 2.</t>
        </is>
      </c>
      <c r="G4" s="8" t="inlineStr">
        <is>
          <t>1. Create RVSECRET as code-only.
2. As Buyer 1, check Seller 2's store page and product pages.
3. Check out ₱1,499 (P-06) and type 'rvsecret' in the voucher box.</t>
        </is>
      </c>
      <c r="H4" s="8" t="inlineStr">
        <is>
          <t>RVSECRET</t>
        </is>
      </c>
      <c r="I4" s="8" t="inlineStr">
        <is>
          <t>The voucher is not listed anywhere on the buyer side. Typing the code in lower case applies ₱100.00 off.</t>
        </is>
      </c>
      <c r="J4" s="8" t="inlineStr">
        <is>
          <t>A26</t>
        </is>
      </c>
      <c r="K4" s="5" t="inlineStr">
        <is>
          <t xml:space="preserve">Could not complete code-only voucher is hidden: no seller voucher can be created/opened. The required voucher fields, existing/claimed voucher or usage record cannot be prepared.</t>
        </is>
      </c>
      <c r="L4" s="5" t="inlineStr">
        <is>
          <t xml:space="preserve">Blocked</t>
        </is>
      </c>
      <c r="M4"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5" ht="93.25" customHeight="1">
      <c r="A5" s="7" t="inlineStr">
        <is>
          <t>SEL-VOU-004</t>
        </is>
      </c>
      <c r="B5" s="8" t="inlineStr">
        <is>
          <t>Store Vouchers</t>
        </is>
      </c>
      <c r="C5" s="8" t="inlineStr">
        <is>
          <t>Voucher code format</t>
        </is>
      </c>
      <c r="D5" s="8" t="inlineStr">
        <is>
          <t>Boundary Value Analysis</t>
        </is>
      </c>
      <c r="E5" s="8" t="inlineStr">
        <is>
          <t>Medium</t>
        </is>
      </c>
      <c r="F5" s="8" t="inlineStr">
        <is>
          <t>Logged in as Seller 1 (Approved).</t>
        </is>
      </c>
      <c r="G5" s="8" t="inlineStr">
        <is>
          <t>1. Try to save a voucher with each code, one per attempt.</t>
        </is>
      </c>
      <c r="H5" s="8" t="inlineStr">
        <is>
          <t>ABC (3, reject)
ABCD (4, accept)
ABCDEFGHIJKL (12, accept)
ABCDEFGHIJKLM (13, reject)
MCH 50 (space, reject)
MCH-50 (symbol, reject)
mch75 (accept, saved as MCH75)</t>
        </is>
      </c>
      <c r="I5" s="8" t="inlineStr">
        <is>
          <t>Only the 'accept' codes save, and they are saved in upper case.</t>
        </is>
      </c>
      <c r="J5" s="8" t="inlineStr">
        <is>
          <t>A26</t>
        </is>
      </c>
      <c r="K5" s="5" t="inlineStr">
        <is>
          <t xml:space="preserve">Could not complete voucher code format: no seller voucher can be created/opened. The required voucher fields, existing/claimed voucher or usage record cannot be prepared.</t>
        </is>
      </c>
      <c r="L5" s="5" t="inlineStr">
        <is>
          <t xml:space="preserve">Blocked</t>
        </is>
      </c>
      <c r="M5"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6" ht="42.25" customHeight="1">
      <c r="A6" s="7" t="inlineStr">
        <is>
          <t>SEL-VOU-005</t>
        </is>
      </c>
      <c r="B6" s="8" t="inlineStr">
        <is>
          <t>Store Vouchers</t>
        </is>
      </c>
      <c r="C6" s="8" t="inlineStr">
        <is>
          <t>Duplicate voucher code</t>
        </is>
      </c>
      <c r="D6" s="8" t="inlineStr">
        <is>
          <t>Equivalence Partitioning</t>
        </is>
      </c>
      <c r="E6" s="8" t="inlineStr">
        <is>
          <t>High</t>
        </is>
      </c>
      <c r="F6" s="8" t="inlineStr">
        <is>
          <t>Logged in as Seller 1 (Approved). MCH50 exists. PLAT100 exists (platform).</t>
        </is>
      </c>
      <c r="G6" s="8" t="inlineStr">
        <is>
          <t>1. Create a voucher with each code.</t>
        </is>
      </c>
      <c r="H6" s="8" t="inlineStr">
        <is>
          <t>MCH50
mch50
PLAT100</t>
        </is>
      </c>
      <c r="I6" s="8" t="inlineStr">
        <is>
          <t>All are rejected as duplicates.</t>
        </is>
      </c>
      <c r="J6" s="8" t="inlineStr">
        <is>
          <t>A26</t>
        </is>
      </c>
      <c r="K6" s="5" t="inlineStr">
        <is>
          <t xml:space="preserve">Could not complete duplicate voucher code: no seller voucher can be created/opened. The required voucher fields, existing/claimed voucher or usage record cannot be prepared.</t>
        </is>
      </c>
      <c r="L6" s="5" t="inlineStr">
        <is>
          <t xml:space="preserve">Blocked</t>
        </is>
      </c>
      <c r="M6"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7" ht="55" customHeight="1">
      <c r="A7" s="7" t="inlineStr">
        <is>
          <t>SEL-VOU-006</t>
        </is>
      </c>
      <c r="B7" s="8" t="inlineStr">
        <is>
          <t>Store Vouchers</t>
        </is>
      </c>
      <c r="C7" s="8" t="inlineStr">
        <is>
          <t>Discount larger than the minimum spend</t>
        </is>
      </c>
      <c r="D7" s="8" t="inlineStr">
        <is>
          <t>Equivalence Partitioning</t>
        </is>
      </c>
      <c r="E7" s="8" t="inlineStr">
        <is>
          <t>High</t>
        </is>
      </c>
      <c r="F7" s="8" t="inlineStr">
        <is>
          <t>Logged in as Seller 1 (Approved).</t>
        </is>
      </c>
      <c r="G7" s="8" t="inlineStr">
        <is>
          <t>1. Create a ₱500-off voucher with a ₱100 minimum spend.
2. Create a ₱100-off voucher with a ₱100 minimum spend.</t>
        </is>
      </c>
      <c r="H7" s="8" t="inlineStr">
        <is>
          <t>₱500 off / min ₱100
₱100 off / min ₱100</t>
        </is>
      </c>
      <c r="I7" s="8" t="inlineStr">
        <is>
          <t>The first is blocked with a message that the discount cannot exceed the minimum spend. The second (equal) is accepted.</t>
        </is>
      </c>
      <c r="J7" s="8" t="inlineStr"/>
      <c r="K7" s="5" t="inlineStr">
        <is>
          <t xml:space="preserve">Could not complete discount larger than the minimum spend: no seller voucher can be created/opened. The required voucher fields, existing/claimed voucher or usage record cannot be prepared.</t>
        </is>
      </c>
      <c r="L7" s="5" t="inlineStr">
        <is>
          <t xml:space="preserve">Blocked</t>
        </is>
      </c>
      <c r="M7"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8" ht="106" customHeight="1">
      <c r="A8" s="7" t="inlineStr">
        <is>
          <t>SEL-VOU-007</t>
        </is>
      </c>
      <c r="B8" s="8" t="inlineStr">
        <is>
          <t>Store Vouchers</t>
        </is>
      </c>
      <c r="C8" s="8" t="inlineStr">
        <is>
          <t>Field validation</t>
        </is>
      </c>
      <c r="D8" s="8" t="inlineStr">
        <is>
          <t>Boundary Value Analysis</t>
        </is>
      </c>
      <c r="E8" s="8" t="inlineStr">
        <is>
          <t>Medium</t>
        </is>
      </c>
      <c r="F8" s="8" t="inlineStr">
        <is>
          <t>Logged in as Seller 1 (Approved).</t>
        </is>
      </c>
      <c r="G8" s="8" t="inlineStr">
        <is>
          <t>1. Try to save a voucher with each invalid value.</t>
        </is>
      </c>
      <c r="H8" s="8" t="inlineStr">
        <is>
          <t>Amount ₱0 (reject)
Percentage 0% (reject)
Percentage 100% (reject)
Cap ₱0 on a % voucher (reject)
Total usage 0 (reject)
Per buyer 2 with total usage 1 (reject)
End before start (reject)</t>
        </is>
      </c>
      <c r="I8" s="8" t="inlineStr">
        <is>
          <t>Each is rejected with a message on the field. Nothing is saved.</t>
        </is>
      </c>
      <c r="J8" s="8" t="inlineStr"/>
      <c r="K8" s="5" t="inlineStr">
        <is>
          <t xml:space="preserve">Could not complete field validation: no seller voucher can be created/opened. The required voucher fields, existing/claimed voucher or usage record cannot be prepared.</t>
        </is>
      </c>
      <c r="L8" s="5" t="inlineStr">
        <is>
          <t xml:space="preserve">Blocked</t>
        </is>
      </c>
      <c r="M8"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9" ht="106" customHeight="1">
      <c r="A9" s="7" t="inlineStr">
        <is>
          <t>SEL-VOU-008</t>
        </is>
      </c>
      <c r="B9" s="8" t="inlineStr">
        <is>
          <t>Store Vouchers</t>
        </is>
      </c>
      <c r="C9" s="8" t="inlineStr">
        <is>
          <t>Voucher for selected products only</t>
        </is>
      </c>
      <c r="D9" s="8" t="inlineStr">
        <is>
          <t>Equivalence Partitioning</t>
        </is>
      </c>
      <c r="E9" s="8" t="inlineStr">
        <is>
          <t>Medium</t>
        </is>
      </c>
      <c r="F9" s="8" t="inlineStr">
        <is>
          <t>Logged in as Seller 1 (Approved).</t>
        </is>
      </c>
      <c r="G9" s="8" t="inlineStr">
        <is>
          <t>1. Create MCHTOTE: ₱30 off, min spend ₱100, P-01 only.
2. As Buyer 1, check out P-02 alone and try the voucher.
3. Check out P-01 Natural-M alone and apply it.
4. Check out P-01 + P-02 together and apply it.</t>
        </is>
      </c>
      <c r="H9" s="8" t="inlineStr">
        <is>
          <t>MCHTOTE</t>
        </is>
      </c>
      <c r="I9" s="8" t="inlineStr">
        <is>
          <t>P-02 alone: not applicable. P-01 alone: ₱30 off. P-01 + P-02: ₱30 off, and minimum spend counts only the P-01 amount.</t>
        </is>
      </c>
      <c r="J9" s="8" t="inlineStr"/>
      <c r="K9" s="5" t="inlineStr">
        <is>
          <t xml:space="preserve">Could not complete voucher for selected products only: no seller voucher can be created/opened. The required voucher fields, existing/claimed voucher or usage record cannot be prepared.</t>
        </is>
      </c>
      <c r="L9" s="5" t="inlineStr">
        <is>
          <t xml:space="preserve">Blocked</t>
        </is>
      </c>
      <c r="M9"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10" ht="67.75" customHeight="1">
      <c r="A10" s="7" t="inlineStr">
        <is>
          <t>SEL-VOU-009</t>
        </is>
      </c>
      <c r="B10" s="8" t="inlineStr">
        <is>
          <t>Store Vouchers</t>
        </is>
      </c>
      <c r="C10" s="8" t="inlineStr">
        <is>
          <t>Edit a voucher buyers already claimed</t>
        </is>
      </c>
      <c r="D10" s="8" t="inlineStr">
        <is>
          <t>State Transition</t>
        </is>
      </c>
      <c r="E10" s="8" t="inlineStr">
        <is>
          <t>High</t>
        </is>
      </c>
      <c r="F10" s="8" t="inlineStr">
        <is>
          <t>Logged in as Seller 1 (Approved). Buyer 1 has claimed MCH50.</t>
        </is>
      </c>
      <c r="G10" s="8" t="inlineStr">
        <is>
          <t>1. Try to change the minimum spend to ₱500.
2. Try to change the amount to ₱20.
3. Extend the end date by 7 days.
4. Raise the total usage to 150.</t>
        </is>
      </c>
      <c r="H10" s="8" t="inlineStr">
        <is>
          <t>MCH50</t>
        </is>
      </c>
      <c r="I10" s="8" t="inlineStr">
        <is>
          <t>Minimum spend and amount are locked (cannot be edited). The new end date and usage limit save. Buyer 1's wallet shows the new end date.</t>
        </is>
      </c>
      <c r="J10" s="8" t="inlineStr">
        <is>
          <t>A27</t>
        </is>
      </c>
      <c r="K10" s="5" t="inlineStr">
        <is>
          <t xml:space="preserve">Could not complete edit a voucher buyers already claimed: no seller voucher can be created/opened. The required voucher fields, existing/claimed voucher or usage record cannot be prepared.</t>
        </is>
      </c>
      <c r="L10" s="5" t="inlineStr">
        <is>
          <t xml:space="preserve">Blocked</t>
        </is>
      </c>
      <c r="M10"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11" ht="55" customHeight="1">
      <c r="A11" s="7" t="inlineStr">
        <is>
          <t>SEL-VOU-010</t>
        </is>
      </c>
      <c r="B11" s="8" t="inlineStr">
        <is>
          <t>Store Vouchers</t>
        </is>
      </c>
      <c r="C11" s="8" t="inlineStr">
        <is>
          <t>End a voucher buyers already claimed</t>
        </is>
      </c>
      <c r="D11" s="8" t="inlineStr">
        <is>
          <t>State Transition</t>
        </is>
      </c>
      <c r="E11" s="8" t="inlineStr">
        <is>
          <t>High</t>
        </is>
      </c>
      <c r="F11" s="8" t="inlineStr">
        <is>
          <t>Logged in as Seller 1 (Approved). Buyer 1 has claimed MCH50; Buyer 2 used MCH50 on a To Ship order.</t>
        </is>
      </c>
      <c r="G11" s="8" t="inlineStr">
        <is>
          <t>1. End MCH50 and confirm.
2. Check Buyer 1's wallet and checkout.
3. Open Buyer 2's order.</t>
        </is>
      </c>
      <c r="H11" s="8" t="inlineStr">
        <is>
          <t>MCH50</t>
        </is>
      </c>
      <c r="I11" s="8" t="inlineStr">
        <is>
          <t>Buyer 1's wallet no longer offers MCH50 and checkout cannot apply it. Buyer 2's order still shows ₱50.00 off.</t>
        </is>
      </c>
      <c r="J11" s="8" t="inlineStr">
        <is>
          <t>A27</t>
        </is>
      </c>
      <c r="K11" s="5" t="inlineStr">
        <is>
          <t xml:space="preserve">Could not complete end a voucher buyers already claimed: no seller voucher can be created/opened. The required voucher fields, existing/claimed voucher or usage record cannot be prepared.</t>
        </is>
      </c>
      <c r="L11" s="5" t="inlineStr">
        <is>
          <t xml:space="preserve">Blocked</t>
        </is>
      </c>
      <c r="M11" s="5" t="inlineStr">
        <is>
          <t xml:space="preserve">Blocked prerequisite: SEL-VOU-001. The required setup/action was unavailable, so the dependent expected result was not verified. Evidence reviewed from the existing runtime/implementation findings; this status review did not rerun the system.</t>
        </is>
      </c>
    </row>
    <row r="12" ht="55" customHeight="1">
      <c r="A12" s="7" t="inlineStr">
        <is>
          <t>SEL-VOU-011</t>
        </is>
      </c>
      <c r="B12" s="8" t="inlineStr">
        <is>
          <t>Store Vouchers</t>
        </is>
      </c>
      <c r="C12" s="8" t="inlineStr">
        <is>
          <t>Usage counters</t>
        </is>
      </c>
      <c r="D12" s="8" t="inlineStr">
        <is>
          <t>State Transition</t>
        </is>
      </c>
      <c r="E12" s="8" t="inlineStr">
        <is>
          <t>Medium</t>
        </is>
      </c>
      <c r="F12" s="8" t="inlineStr">
        <is>
          <t>Logged in as Seller 1 (Approved).</t>
        </is>
      </c>
      <c r="G12" s="8" t="inlineStr">
        <is>
          <t>1. As Buyer 1, use MCH50 on an order.
2. Check MCH50's usage.
3. As Buyer 1, cancel the order and check again.</t>
        </is>
      </c>
      <c r="H12" s="8" t="inlineStr">
        <is>
          <t>MCH50</t>
        </is>
      </c>
      <c r="I12" s="8" t="inlineStr">
        <is>
          <t>Usage shows 1 of 100 after the order and 0 of 100 after the cancellation.</t>
        </is>
      </c>
      <c r="J12" s="8" t="inlineStr">
        <is>
          <t>A21</t>
        </is>
      </c>
      <c r="K12" s="5" t="inlineStr">
        <is>
          <t xml:space="preserve">Could not complete usage counters: no seller voucher can be created/opened. The required voucher fields, existing/claimed voucher or usage record cannot be prepared.</t>
        </is>
      </c>
      <c r="L12" s="5" t="inlineStr">
        <is>
          <t xml:space="preserve">Blocked</t>
        </is>
      </c>
      <c r="M12" s="5" t="inlineStr">
        <is>
          <t xml:space="preserve">Blocked prerequisite: SEL-VOU-001. The required setup/action was unavailable, so the dependent expected result was not verified. Evidence reviewed from the existing runtime/implementation findings; this status review did not rerun the system.</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SEL-FLASH-001</t>
        </is>
      </c>
      <c r="B2" s="8" t="inlineStr">
        <is>
          <t>Flash Sales, Campaigns &amp; Bundles</t>
        </is>
      </c>
      <c r="C2" s="8" t="inlineStr">
        <is>
          <t>Create a flash sale in a time slot</t>
        </is>
      </c>
      <c r="D2" s="8" t="inlineStr">
        <is>
          <t>Use Case Testing</t>
        </is>
      </c>
      <c r="E2" s="8" t="inlineStr">
        <is>
          <t>High</t>
        </is>
      </c>
      <c r="F2" s="8" t="inlineStr">
        <is>
          <t>Logged in as Seller 1 (Approved).</t>
        </is>
      </c>
      <c r="G2" s="8" t="inlineStr">
        <is>
          <t>1. Create a flash sale for P-02 in today's 12:00–14:00 slot, flash price ₱299, flash quantity 3.
2. Save.
3. As Buyer 1, open P-02 at 11:59 and at 12:00.</t>
        </is>
      </c>
      <c r="H2" s="8" t="inlineStr">
        <is>
          <t>P-02 ₱450 → ₱299, quantity 3</t>
        </is>
      </c>
      <c r="I2" s="8" t="inlineStr">
        <is>
          <t>Saved as Upcoming. At 11:59 buyers see ₱450 (with an 'upcoming flash sale' notice if supported). At 12:00 they see ₱299, a countdown to 14:00 and '3 left'.</t>
        </is>
      </c>
      <c r="J2" s="8" t="inlineStr">
        <is>
          <t>A5</t>
        </is>
      </c>
      <c r="K2" s="5" t="inlineStr">
        <is>
          <t xml:space="preserve">The product editor supports an immediate percentage discount, but has no flash-sale slots, allocated flash stock, bundle deal or Buy X Get Y editor. This case requires an unavailable promotion workflow.</t>
        </is>
      </c>
      <c r="L2" s="5" t="inlineStr">
        <is>
          <t xml:space="preserve">Fail</t>
        </is>
      </c>
      <c r="M2" s="5" t="inlineStr">
        <is>
          <t xml:space="preserve">Implementation review: backend/app/Http/Controllers/Api/V1/SellerProductController.php:47. Required behavior in this case is absent or differs. This finding is not a claimed browser execution.</t>
        </is>
      </c>
    </row>
    <row r="3" ht="67.75" customHeight="1">
      <c r="A3" s="7" t="inlineStr">
        <is>
          <t>SEL-FLASH-002</t>
        </is>
      </c>
      <c r="B3" s="8" t="inlineStr">
        <is>
          <t>Flash Sales, Campaigns &amp; Bundles</t>
        </is>
      </c>
      <c r="C3" s="8" t="inlineStr">
        <is>
          <t>Flash quantity and price validation</t>
        </is>
      </c>
      <c r="D3" s="8" t="inlineStr">
        <is>
          <t>Boundary Value Analysis</t>
        </is>
      </c>
      <c r="E3" s="8" t="inlineStr">
        <is>
          <t>Medium</t>
        </is>
      </c>
      <c r="F3" s="8" t="inlineStr">
        <is>
          <t>Logged in as Seller 1 (Approved). P-02 stock is 20.</t>
        </is>
      </c>
      <c r="G3" s="8" t="inlineStr">
        <is>
          <t>1. Enter each value, one per attempt.</t>
        </is>
      </c>
      <c r="H3" s="8" t="inlineStr">
        <is>
          <t>Quantity 0 (reject)
Quantity 20 (accept)
Quantity 21 (reject)
Flash price ₱450 (reject)
Flash price ₱449.99 (accept)</t>
        </is>
      </c>
      <c r="I3" s="8" t="inlineStr">
        <is>
          <t>Only the 'accept' values save.</t>
        </is>
      </c>
      <c r="J3" s="8" t="inlineStr">
        <is>
          <t>A17</t>
        </is>
      </c>
      <c r="K3" s="5" t="inlineStr">
        <is>
          <t xml:space="preserve">Could not complete flash quantity and price validation: a flash-sale slot and allocated flash inventory cannot be created, preventing its boundary, depletion, expiry and overlap tests.</t>
        </is>
      </c>
      <c r="L3" s="5" t="inlineStr">
        <is>
          <t xml:space="preserve">Blocked</t>
        </is>
      </c>
      <c r="M3"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4" ht="42.25" customHeight="1">
      <c r="A4" s="7" t="inlineStr">
        <is>
          <t>SEL-FLASH-003</t>
        </is>
      </c>
      <c r="B4" s="8" t="inlineStr">
        <is>
          <t>Flash Sales, Campaigns &amp; Bundles</t>
        </is>
      </c>
      <c r="C4" s="8" t="inlineStr">
        <is>
          <t>Price returns to normal when flash quantity runs out</t>
        </is>
      </c>
      <c r="D4" s="8" t="inlineStr">
        <is>
          <t>State Transition</t>
        </is>
      </c>
      <c r="E4" s="8" t="inlineStr">
        <is>
          <t>High</t>
        </is>
      </c>
      <c r="F4" s="8" t="inlineStr">
        <is>
          <t>Flash sale live, 3 flash units left, no store sale.</t>
        </is>
      </c>
      <c r="G4" s="8" t="inlineStr">
        <is>
          <t>1. As Buyer 1, buy 3 × P-02.
2. As Buyer 2, refresh P-02 and add it to the cart.</t>
        </is>
      </c>
      <c r="H4" s="8" t="inlineStr">
        <is>
          <t>P-02</t>
        </is>
      </c>
      <c r="I4" s="8" t="inlineStr">
        <is>
          <t>Buyer 1 pays ₱299 × 3 = ₱897. Buyer 2 sees ₱450 with no flash label, in both the product page and the cart.</t>
        </is>
      </c>
      <c r="J4" s="8" t="inlineStr">
        <is>
          <t>A5</t>
        </is>
      </c>
      <c r="K4" s="5" t="inlineStr">
        <is>
          <t xml:space="preserve">Could not complete price returns to normal when flash quantity runs out: a flash-sale slot and allocated flash inventory cannot be created, preventing its boundary, depletion, expiry and overlap tests.</t>
        </is>
      </c>
      <c r="L4" s="5" t="inlineStr">
        <is>
          <t xml:space="preserve">Blocked</t>
        </is>
      </c>
      <c r="M4"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5" ht="42.25" customHeight="1">
      <c r="A5" s="7" t="inlineStr">
        <is>
          <t>SEL-FLASH-004</t>
        </is>
      </c>
      <c r="B5" s="8" t="inlineStr">
        <is>
          <t>Flash Sales, Campaigns &amp; Bundles</t>
        </is>
      </c>
      <c r="C5" s="8" t="inlineStr">
        <is>
          <t>Order more than the remaining flash quantity</t>
        </is>
      </c>
      <c r="D5" s="8" t="inlineStr">
        <is>
          <t>Boundary Value Analysis</t>
        </is>
      </c>
      <c r="E5" s="8" t="inlineStr">
        <is>
          <t>High</t>
        </is>
      </c>
      <c r="F5" s="8" t="inlineStr">
        <is>
          <t>Flash sale live, 1 flash unit left, no store sale.</t>
        </is>
      </c>
      <c r="G5" s="8" t="inlineStr">
        <is>
          <t>1. As Buyer 1, add 2 × P-02 and open checkout.
2. Place the order.</t>
        </is>
      </c>
      <c r="H5" s="8" t="inlineStr">
        <is>
          <t>Quantity 2</t>
        </is>
      </c>
      <c r="I5" s="8" t="inlineStr">
        <is>
          <t>Checkout shows two lines: 1 × ₱299 and 1 × ₱450, total ₱749 before shipping. The order and the seller's view show the same split.</t>
        </is>
      </c>
      <c r="J5" s="8" t="inlineStr">
        <is>
          <t>A5</t>
        </is>
      </c>
      <c r="K5" s="5" t="inlineStr">
        <is>
          <t xml:space="preserve">Could not complete order more than the remaining flash quantity: a flash-sale slot and allocated flash inventory cannot be created, preventing its boundary, depletion, expiry and overlap tests.</t>
        </is>
      </c>
      <c r="L5" s="5" t="inlineStr">
        <is>
          <t xml:space="preserve">Blocked</t>
        </is>
      </c>
      <c r="M5"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6" ht="29.5" customHeight="1">
      <c r="A6" s="7" t="inlineStr">
        <is>
          <t>SEL-FLASH-005</t>
        </is>
      </c>
      <c r="B6" s="8" t="inlineStr">
        <is>
          <t>Flash Sales, Campaigns &amp; Bundles</t>
        </is>
      </c>
      <c r="C6" s="8" t="inlineStr">
        <is>
          <t>Flash sale ends at the slot end</t>
        </is>
      </c>
      <c r="D6" s="8" t="inlineStr">
        <is>
          <t>State Transition</t>
        </is>
      </c>
      <c r="E6" s="8" t="inlineStr">
        <is>
          <t>Medium</t>
        </is>
      </c>
      <c r="F6" s="8" t="inlineStr">
        <is>
          <t>Flash sale live with units left. Buyer 1 has P-02 in the cart.</t>
        </is>
      </c>
      <c r="G6" s="8" t="inlineStr">
        <is>
          <t>1. Watch P-02 at 14:00.
2. Refresh the cart and checkout.</t>
        </is>
      </c>
      <c r="H6" s="8" t="inlineStr"/>
      <c r="I6" s="8" t="inlineStr">
        <is>
          <t>The countdown reaches 0 and the price returns to ₱450 in every view, with no error page.</t>
        </is>
      </c>
      <c r="J6" s="8" t="inlineStr">
        <is>
          <t>A5</t>
        </is>
      </c>
      <c r="K6" s="5" t="inlineStr">
        <is>
          <t xml:space="preserve">Could not complete flash sale ends at the slot end: a flash-sale slot and allocated flash inventory cannot be created, preventing its boundary, depletion, expiry and overlap tests.</t>
        </is>
      </c>
      <c r="L6" s="5" t="inlineStr">
        <is>
          <t xml:space="preserve">Blocked</t>
        </is>
      </c>
      <c r="M6"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7" ht="42.25" customHeight="1">
      <c r="A7" s="7" t="inlineStr">
        <is>
          <t>SEL-FLASH-006</t>
        </is>
      </c>
      <c r="B7" s="8" t="inlineStr">
        <is>
          <t>Flash Sales, Campaigns &amp; Bundles</t>
        </is>
      </c>
      <c r="C7" s="8" t="inlineStr">
        <is>
          <t>Overlapping store sale and flash sale</t>
        </is>
      </c>
      <c r="D7" s="8" t="inlineStr">
        <is>
          <t>Decision Table</t>
        </is>
      </c>
      <c r="E7" s="8" t="inlineStr">
        <is>
          <t>High</t>
        </is>
      </c>
      <c r="F7" s="8" t="inlineStr">
        <is>
          <t>P-02 has a store sale at ₱360 and a flash sale at ₱299 at the same time, 1 flash unit left.</t>
        </is>
      </c>
      <c r="G7" s="8" t="inlineStr">
        <is>
          <t>1. As Buyer 1, open P-02.
2. Add 2 to the cart and open checkout.</t>
        </is>
      </c>
      <c r="H7" s="8" t="inlineStr"/>
      <c r="I7" s="8" t="inlineStr">
        <is>
          <t>The product page shows ₱299. Checkout shows 1 × ₱299 and 1 × ₱360 (the store sale, not ₱450).</t>
        </is>
      </c>
      <c r="J7" s="8" t="inlineStr">
        <is>
          <t>A5</t>
        </is>
      </c>
      <c r="K7" s="5" t="inlineStr">
        <is>
          <t xml:space="preserve">Could not complete overlapping store sale and flash sale: a flash-sale slot and allocated flash inventory cannot be created, preventing its boundary, depletion, expiry and overlap tests.</t>
        </is>
      </c>
      <c r="L7" s="5" t="inlineStr">
        <is>
          <t xml:space="preserve">Blocked</t>
        </is>
      </c>
      <c r="M7" s="5" t="inlineStr">
        <is>
          <t xml:space="preserve">Blocked prerequisite: SEL-FLASH-001. The required setup/action was unavailable, so the dependent expected result was not verified. Evidence reviewed from the existing runtime/implementation findings; this status review did not rerun the system.</t>
        </is>
      </c>
    </row>
    <row r="8" ht="55" customHeight="1">
      <c r="A8" s="7" t="inlineStr">
        <is>
          <t>SEL-FLASH-007</t>
        </is>
      </c>
      <c r="B8" s="8" t="inlineStr">
        <is>
          <t>Flash Sales, Campaigns &amp; Bundles</t>
        </is>
      </c>
      <c r="C8" s="8" t="inlineStr">
        <is>
          <t>Bundle deal item counting</t>
        </is>
      </c>
      <c r="D8" s="8" t="inlineStr">
        <is>
          <t>Decision Table</t>
        </is>
      </c>
      <c r="E8" s="8" t="inlineStr">
        <is>
          <t>High</t>
        </is>
      </c>
      <c r="F8" s="8" t="inlineStr">
        <is>
          <t>Logged in as Seller 1 (Approved). Bundle: any 3 items from P-01 for 15% off.</t>
        </is>
      </c>
      <c r="G8" s="8" t="inlineStr">
        <is>
          <t>1. As Buyer 1, add 2 × P-01 Natural-S and check the cart.
2. Add 1 × P-01 Black-L and check again.
3. Remove one Natural-S.</t>
        </is>
      </c>
      <c r="H8" s="8" t="inlineStr">
        <is>
          <t>Natural-S ₱199 × 2, Black-L ₱299</t>
        </is>
      </c>
      <c r="I8" s="8" t="inlineStr">
        <is>
          <t>With 2 items: no discount. With 3 mixed variants: 15% of ₱697 = ₱104.55 off. After removing one: discount removed.</t>
        </is>
      </c>
      <c r="J8" s="8" t="inlineStr"/>
      <c r="K8" s="5" t="inlineStr">
        <is>
          <t xml:space="preserve">The product editor supports an immediate percentage discount, but has no flash-sale slots, allocated flash stock, bundle deal or Buy X Get Y editor. This case requires an unavailable promotion workflow.</t>
        </is>
      </c>
      <c r="L8" s="5" t="inlineStr">
        <is>
          <t xml:space="preserve">Fail</t>
        </is>
      </c>
      <c r="M8" s="5" t="inlineStr">
        <is>
          <t xml:space="preserve">Implementation review: backend/app/Http/Controllers/Api/V1/SellerProductController.php:47. Required behavior in this case is absent or differs. This finding is not a claimed browser execution.</t>
        </is>
      </c>
    </row>
    <row r="9" ht="55" customHeight="1">
      <c r="A9" s="7" t="inlineStr">
        <is>
          <t>SEL-FLASH-008</t>
        </is>
      </c>
      <c r="B9" s="8" t="inlineStr">
        <is>
          <t>Flash Sales, Campaigns &amp; Bundles</t>
        </is>
      </c>
      <c r="C9" s="8" t="inlineStr">
        <is>
          <t>Buy X Get Y</t>
        </is>
      </c>
      <c r="D9" s="8" t="inlineStr">
        <is>
          <t>Decision Table</t>
        </is>
      </c>
      <c r="E9" s="8" t="inlineStr">
        <is>
          <t>Medium</t>
        </is>
      </c>
      <c r="F9" s="8" t="inlineStr">
        <is>
          <t>Logged in as Seller 1 (Approved). Promotion: buy 2 × P-02, get 1 × P-04 free (P-04 restocked to 10).</t>
        </is>
      </c>
      <c r="G9" s="8" t="inlineStr">
        <is>
          <t>1. As Buyer 1, add 2 × P-02 and 1 × P-04.
2. Remove one P-02.</t>
        </is>
      </c>
      <c r="H9" s="8" t="inlineStr"/>
      <c r="I9" s="8" t="inlineStr">
        <is>
          <t>With 2 × P-02, P-04 shows ₱0.00. With 1 × P-02, P-04 returns to ₱350.00.</t>
        </is>
      </c>
      <c r="J9" s="8" t="inlineStr"/>
      <c r="K9" s="5" t="inlineStr">
        <is>
          <t xml:space="preserve">The product editor supports an immediate percentage discount, but has no flash-sale slots, allocated flash stock, bundle deal or Buy X Get Y editor. This case requires an unavailable promotion workflow.</t>
        </is>
      </c>
      <c r="L9" s="5" t="inlineStr">
        <is>
          <t xml:space="preserve">Fail</t>
        </is>
      </c>
      <c r="M9" s="5" t="inlineStr">
        <is>
          <t xml:space="preserve">Implementation review: backend/app/Http/Controllers/Api/V1/SellerProductController.php:47. Required behavior in this case is absent or differs. This finding is not a claimed browser execution.</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SEL-ORD-001</t>
        </is>
      </c>
      <c r="B2" s="8" t="inlineStr">
        <is>
          <t>Order Processing</t>
        </is>
      </c>
      <c r="C2" s="8" t="inlineStr">
        <is>
          <t>Order list tabs, counts and filters</t>
        </is>
      </c>
      <c r="D2" s="8" t="inlineStr">
        <is>
          <t>Use Case Testing</t>
        </is>
      </c>
      <c r="E2" s="8" t="inlineStr">
        <is>
          <t>Medium</t>
        </is>
      </c>
      <c r="F2" s="8" t="inlineStr">
        <is>
          <t>Logged in as Seller 1 (Approved). At least one order exists in each status.</t>
        </is>
      </c>
      <c r="G2" s="8" t="inlineStr">
        <is>
          <t>1. Open each tab: New, To Ship, Shipping, Completed, Cancelled, Return/Refund.
2. Compare each tab's count with its rows.
3. Filter by a date range and search by an order ID.</t>
        </is>
      </c>
      <c r="H2" s="8" t="inlineStr"/>
      <c r="I2" s="8" t="inlineStr">
        <is>
          <t>Each order appears in exactly one tab, matching its status; tab counts equal the rows. Date filter and search return exactly the matching orders.</t>
        </is>
      </c>
      <c r="J2" s="8" t="inlineStr">
        <is>
          <t>A10</t>
        </is>
      </c>
      <c r="K2" s="5" t="inlineStr">
        <is>
          <t xml:space="preserve">Seller order filtering supports status and search, but neither the list controller nor the seller screen offers a date-range filter required by this case.</t>
        </is>
      </c>
      <c r="L2" s="5" t="inlineStr">
        <is>
          <t xml:space="preserve">Fail</t>
        </is>
      </c>
      <c r="M2" s="5" t="inlineStr">
        <is>
          <t xml:space="preserve">Implementation review: backend/app/Http/Controllers/Api/V1/SellerOrderController.php:25. Required behavior in this case is absent or differs. This finding is not a claimed browser execution.</t>
        </is>
      </c>
    </row>
    <row r="3" ht="80.5" customHeight="1">
      <c r="A3" s="7" t="inlineStr">
        <is>
          <t>SEL-ORD-002</t>
        </is>
      </c>
      <c r="B3" s="8" t="inlineStr">
        <is>
          <t>Order Processing</t>
        </is>
      </c>
      <c r="C3" s="8" t="inlineStr">
        <is>
          <t>Accept, pack, ready for pickup and print waybill</t>
        </is>
      </c>
      <c r="D3" s="8" t="inlineStr">
        <is>
          <t>State Transition</t>
        </is>
      </c>
      <c r="E3" s="8" t="inlineStr">
        <is>
          <t>High</t>
        </is>
      </c>
      <c r="F3" s="8" t="inlineStr">
        <is>
          <t>Logged in as Seller 1 (Approved). A new COD order from Buyer 1 (P-02, ADDR-1) exists.</t>
        </is>
      </c>
      <c r="G3" s="8" t="inlineStr">
        <is>
          <t>1. Click Accept.
2. Click Mark as Packed.
3. Click Ready for Pickup.
4. Print the waybill.
5. As Buyer 1 and Logistics 1, open the order or shipment.</t>
        </is>
      </c>
      <c r="H3" s="8" t="inlineStr">
        <is>
          <t>P-02 COD order, total ₱500.00</t>
        </is>
      </c>
      <c r="I3" s="8" t="inlineStr">
        <is>
          <t>Status moves New → Accepted → Packed → Ready for Pickup, each with a timestamp. The waybill shows the tracking number, buyer's ADDR-1, Seller 1's pickup address, 0.8 kg and COD ₱500.00. Logistics 1 sees the parcel in the pickup queue. Buyer 1's timeline shows each step.</t>
        </is>
      </c>
      <c r="J3" s="8" t="inlineStr">
        <is>
          <t>A10</t>
        </is>
      </c>
      <c r="K3" s="5" t="inlineStr">
        <is>
          <t xml:space="preserve">Accept, pack and Ready for Pickup transitions succeeded with timestamps, tracking and COD 500.00. However the waybill API and WaybillPage omit parcel weight entirely, so the required 0.8 kg cannot be printed.</t>
        </is>
      </c>
      <c r="L3" s="5" t="inlineStr">
        <is>
          <t xml:space="preserve">Fail</t>
        </is>
      </c>
      <c r="M3" s="5" t="inlineStr">
        <is>
          <t xml:space="preserve">Real full seller/rider/hub flow executed. Failure is the missing weight on the waybill, not the working order transitions.</t>
        </is>
      </c>
    </row>
    <row r="4" ht="55" customHeight="1">
      <c r="A4" s="7" t="inlineStr">
        <is>
          <t>SEL-ORD-003</t>
        </is>
      </c>
      <c r="B4" s="8" t="inlineStr">
        <is>
          <t>Order Processing</t>
        </is>
      </c>
      <c r="C4" s="8" t="inlineStr">
        <is>
          <t>Skip a step</t>
        </is>
      </c>
      <c r="D4" s="8" t="inlineStr">
        <is>
          <t>State Transition</t>
        </is>
      </c>
      <c r="E4" s="8" t="inlineStr">
        <is>
          <t>Medium</t>
        </is>
      </c>
      <c r="F4" s="8" t="inlineStr">
        <is>
          <t>Logged in as Seller 1 (Approved). A new order exists.</t>
        </is>
      </c>
      <c r="G4" s="8" t="inlineStr">
        <is>
          <t>1. Look for Ready for Pickup before accepting.
2. Try the Ready for Pickup request directly if possible.</t>
        </is>
      </c>
      <c r="H4" s="8" t="inlineStr"/>
      <c r="I4" s="8" t="inlineStr">
        <is>
          <t>Only Accept (and Cancel) are available. A direct request is rejected and the status stays New.</t>
        </is>
      </c>
      <c r="J4" s="8" t="inlineStr">
        <is>
          <t>A10</t>
        </is>
      </c>
      <c r="K4" s="5" t="inlineStr">
        <is>
          <t xml:space="preserve">Fresh PLACED order sent directly to READY_FOR_PICKUP: HTTP 422; Cannot transition order from PLACED to READY_FOR_PICKUP.. State was not changed.</t>
        </is>
      </c>
      <c r="L4" s="5" t="inlineStr">
        <is>
          <t xml:space="preserve">Pass</t>
        </is>
      </c>
      <c r="M4" s="5" t="inlineStr">
        <is>
          <t xml:space="preserve">Tested through the local system API on isolated velure_blackbox; judged against the workbook expected result.</t>
        </is>
      </c>
    </row>
    <row r="5" ht="55" customHeight="1">
      <c r="A5" s="7" t="inlineStr">
        <is>
          <t>SEL-ORD-004</t>
        </is>
      </c>
      <c r="B5" s="8" t="inlineStr">
        <is>
          <t>Order Processing</t>
        </is>
      </c>
      <c r="C5" s="8" t="inlineStr">
        <is>
          <t>Seller cancels a COD order</t>
        </is>
      </c>
      <c r="D5" s="8" t="inlineStr">
        <is>
          <t>State Transition</t>
        </is>
      </c>
      <c r="E5" s="8" t="inlineStr">
        <is>
          <t>High</t>
        </is>
      </c>
      <c r="F5" s="8" t="inlineStr">
        <is>
          <t>Logged in as Seller 1 (Approved). A COD order (2 × P-02, MCH50) is Accepted. P-02 stock is 18.</t>
        </is>
      </c>
      <c r="G5" s="8" t="inlineStr">
        <is>
          <t>1. Click Cancel.
2. Submit without a reason.
3. Choose 'Out of stock' and confirm.</t>
        </is>
      </c>
      <c r="H5" s="8" t="inlineStr">
        <is>
          <t>Reason: Out of stock</t>
        </is>
      </c>
      <c r="I5" s="8" t="inlineStr">
        <is>
          <t>A reason is required. After cancelling: status Cancelled for both sides, P-02 stock 20, MCH50 back in Buyer 1's wallet, and Buyer 1 notified with the reason.</t>
        </is>
      </c>
      <c r="J5" s="8" t="inlineStr">
        <is>
          <t>A3, A21, A23</t>
        </is>
      </c>
      <c r="K5" s="5" t="inlineStr">
        <is>
          <t xml:space="preserve">Seller cancellation accepts a nullable note and the system has no voucher wallet to restore MCH50. The mandatory reason and voucher-restoration requirements in this case are unmet.</t>
        </is>
      </c>
      <c r="L5" s="5" t="inlineStr">
        <is>
          <t xml:space="preserve">Fail</t>
        </is>
      </c>
      <c r="M5" s="5" t="inlineStr">
        <is>
          <t xml:space="preserve">Implementation review: backend/app/Http/Controllers/Api/V1/SellerOrderController.php:351. Required behavior in this case is absent or differs. This finding is not a claimed browser execution.</t>
        </is>
      </c>
    </row>
    <row r="6" ht="42.25" customHeight="1">
      <c r="A6" s="7" t="inlineStr">
        <is>
          <t>SEL-ORD-005</t>
        </is>
      </c>
      <c r="B6" s="8" t="inlineStr">
        <is>
          <t>Order Processing</t>
        </is>
      </c>
      <c r="C6" s="8" t="inlineStr">
        <is>
          <t>Seller cancels a prepaid order</t>
        </is>
      </c>
      <c r="D6" s="8" t="inlineStr">
        <is>
          <t>State Transition</t>
        </is>
      </c>
      <c r="E6" s="8" t="inlineStr">
        <is>
          <t>High</t>
        </is>
      </c>
      <c r="F6" s="8" t="inlineStr">
        <is>
          <t>Logged in as Seller 1 (Approved). A paid e-wallet order is Accepted.</t>
        </is>
      </c>
      <c r="G6" s="8" t="inlineStr">
        <is>
          <t>1. Cancel with the reason 'Out of stock'.
2. Check the order's refund status as Buyer 1.</t>
        </is>
      </c>
      <c r="H6" s="8" t="inlineStr"/>
      <c r="I6" s="8" t="inlineStr">
        <is>
          <t>The order is Cancelled and a refund for the full amount paid is started. The amount is not counted in Seller 1's earnings.</t>
        </is>
      </c>
      <c r="J6" s="8" t="inlineStr">
        <is>
          <t>A6, A15</t>
        </is>
      </c>
      <c r="K6" s="5" t="inlineStr">
        <is>
          <t xml:space="preserve">The payment workflow is direct seller GCash; cancellation does not initiate a gateway refund of the prepaid amount. The full automatic-refund expectation is unavailable.</t>
        </is>
      </c>
      <c r="L6" s="5" t="inlineStr">
        <is>
          <t xml:space="preserve">Fail</t>
        </is>
      </c>
      <c r="M6" s="5" t="inlineStr">
        <is>
          <t xml:space="preserve">Implementation review: backend/app/Http/Controllers/Api/V1/SellerOrderController.php:351. Required behavior in this case is absent or differs. This finding is not a claimed browser execution.</t>
        </is>
      </c>
    </row>
    <row r="7" ht="42.25" customHeight="1">
      <c r="A7" s="7" t="inlineStr">
        <is>
          <t>SEL-ORD-006</t>
        </is>
      </c>
      <c r="B7" s="8" t="inlineStr">
        <is>
          <t>Order Processing</t>
        </is>
      </c>
      <c r="C7" s="8" t="inlineStr">
        <is>
          <t>No cancel after handover</t>
        </is>
      </c>
      <c r="D7" s="8" t="inlineStr">
        <is>
          <t>State Transition</t>
        </is>
      </c>
      <c r="E7" s="8" t="inlineStr">
        <is>
          <t>High</t>
        </is>
      </c>
      <c r="F7" s="8" t="inlineStr">
        <is>
          <t>Logged in as Seller 1 (Approved). Rider 1 has picked up the parcel.</t>
        </is>
      </c>
      <c r="G7" s="8" t="inlineStr">
        <is>
          <t>1. Look for Cancel and Edit on the order.
2. Try the cancel request directly if possible.</t>
        </is>
      </c>
      <c r="H7" s="8" t="inlineStr"/>
      <c r="I7" s="8" t="inlineStr">
        <is>
          <t>Cancel and Edit are not shown. A direct cancel request is rejected and the status is unchanged.</t>
        </is>
      </c>
      <c r="J7" s="8" t="inlineStr">
        <is>
          <t>A6</t>
        </is>
      </c>
      <c r="K7" s="5" t="inlineStr">
        <is>
          <t xml:space="preserve">Seller cancellation after PICKED_UP returned 422; Cannot transition order from PICKED_UP to CANCELLED..</t>
        </is>
      </c>
      <c r="L7" s="5" t="inlineStr">
        <is>
          <t xml:space="preserve">Pass</t>
        </is>
      </c>
      <c r="M7" s="5" t="inlineStr">
        <is>
          <t xml:space="preserve">Tested through the local system API on isolated velure_blackbox; judged against the workbook expected result.</t>
        </is>
      </c>
    </row>
    <row r="8" ht="67.75" customHeight="1">
      <c r="A8" s="7" t="inlineStr">
        <is>
          <t>SEL-ORD-007</t>
        </is>
      </c>
      <c r="B8" s="8" t="inlineStr">
        <is>
          <t>Order Processing</t>
        </is>
      </c>
      <c r="C8" s="8" t="inlineStr">
        <is>
          <t>Order details accuracy</t>
        </is>
      </c>
      <c r="D8" s="8" t="inlineStr">
        <is>
          <t>Equivalence Partitioning</t>
        </is>
      </c>
      <c r="E8" s="8" t="inlineStr">
        <is>
          <t>High</t>
        </is>
      </c>
      <c r="F8" s="8" t="inlineStr">
        <is>
          <t>Logged in as Seller 1 (Approved). The worked checkout example order exists.</t>
        </is>
      </c>
      <c r="G8" s="8" t="inlineStr">
        <is>
          <t>1. Open Seller 1's order from the example.</t>
        </is>
      </c>
      <c r="H8" s="8" t="inlineStr">
        <is>
          <t>Worked checkout example</t>
        </is>
      </c>
      <c r="I8" s="8" t="inlineStr">
        <is>
          <t>Shows Abaca Tote Natural-M × 1 at ₱249.00, Rattan Basket × 1 at ₱450.00, MCH50 −₱50.00, shipping ₱65.00, the buyer's note, payment method COD and ADDR-1. Seller 2's item is not in this order.</t>
        </is>
      </c>
      <c r="J8" s="8" t="inlineStr"/>
      <c r="K8" s="5" t="inlineStr">
        <is>
          <t xml:space="preserve">Could not complete order details accuracy: the voucher-based worked checkout order cannot be placed, so those exact line items, deductions and order totals are unavailable for comparison.</t>
        </is>
      </c>
      <c r="L8" s="5" t="inlineStr">
        <is>
          <t xml:space="preserve">Blocked</t>
        </is>
      </c>
      <c r="M8" s="5" t="inlineStr">
        <is>
          <t xml:space="preserve">Blocked prerequisite: BUY-CHK-001. The required setup/action was unavailable, so the dependent expected result was not verified. Evidence reviewed from the existing runtime/implementation findings; this status review did not rerun the system.</t>
        </is>
      </c>
    </row>
    <row r="9" ht="42.25" customHeight="1">
      <c r="A9" s="7" t="inlineStr">
        <is>
          <t>SEL-ORD-008</t>
        </is>
      </c>
      <c r="B9" s="8" t="inlineStr">
        <is>
          <t>Order Processing</t>
        </is>
      </c>
      <c r="C9" s="8" t="inlineStr">
        <is>
          <t>Seller cannot open another store's order</t>
        </is>
      </c>
      <c r="D9" s="8" t="inlineStr">
        <is>
          <t>Error Guessing</t>
        </is>
      </c>
      <c r="E9" s="8" t="inlineStr">
        <is>
          <t>High</t>
        </is>
      </c>
      <c r="F9" s="8" t="inlineStr">
        <is>
          <t>Logged in as Seller 1 (Approved).</t>
        </is>
      </c>
      <c r="G9" s="8" t="inlineStr">
        <is>
          <t>1. Open one of Seller 1's orders.
2. Change the order ID in the URL to Seller 2's order from the worked example.</t>
        </is>
      </c>
      <c r="H9" s="8" t="inlineStr"/>
      <c r="I9" s="8" t="inlineStr">
        <is>
          <t>Access is denied. No details of Seller 2's order are shown.</t>
        </is>
      </c>
      <c r="J9" s="8" t="inlineStr">
        <is>
          <t>A22</t>
        </is>
      </c>
      <c r="K9" s="5" t="inlineStr">
        <is>
          <t xml:space="preserve">Seller 2 opening Seller 1 order 1: HTTP 403.</t>
        </is>
      </c>
      <c r="L9" s="5" t="inlineStr">
        <is>
          <t xml:space="preserve">Pass</t>
        </is>
      </c>
      <c r="M9" s="5" t="inlineStr">
        <is>
          <t xml:space="preserve">Expedited API test; browser controls not exercised.</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SEL-RET-001</t>
        </is>
      </c>
      <c r="B2" s="8" t="inlineStr">
        <is>
          <t>Returns &amp; Refunds</t>
        </is>
      </c>
      <c r="C2" s="8" t="inlineStr">
        <is>
          <t>View a return request with evidence</t>
        </is>
      </c>
      <c r="D2" s="8" t="inlineStr">
        <is>
          <t>Use Case Testing</t>
        </is>
      </c>
      <c r="E2" s="8" t="inlineStr">
        <is>
          <t>Medium</t>
        </is>
      </c>
      <c r="F2" s="8" t="inlineStr">
        <is>
          <t>Logged in as Seller 1 (Approved). Buyer 1 requested a return for P-02 with 2 photos.</t>
        </is>
      </c>
      <c r="G2" s="8" t="inlineStr">
        <is>
          <t>1. Open Return/Refund and the request.</t>
        </is>
      </c>
      <c r="H2" s="8" t="inlineStr"/>
      <c r="I2" s="8" t="inlineStr">
        <is>
          <t>Shows the reason, description, both photos (full size on click), item, amount and the response deadline (3 days).</t>
        </is>
      </c>
      <c r="J2" s="8" t="inlineStr">
        <is>
          <t>A31</t>
        </is>
      </c>
      <c r="K2" s="5" t="inlineStr">
        <is>
          <t xml:space="preserve">Return requests store reason/description without evidence-photo uploads, and the response email states 48 hours rather than the required 3-day deadline. Both-photo/deadline requirements are unmet.</t>
        </is>
      </c>
      <c r="L2" s="5" t="inlineStr">
        <is>
          <t xml:space="preserve">Fail</t>
        </is>
      </c>
      <c r="M2" s="5" t="inlineStr">
        <is>
          <t xml:space="preserve">Implementation review: backend/app/Http/Controllers/Api/V1/BuyerOrderController.php:387. Required behavior in this case is absent or differs. This finding is not a claimed browser execution.</t>
        </is>
      </c>
    </row>
    <row r="3" ht="55" customHeight="1">
      <c r="A3" s="7" t="inlineStr">
        <is>
          <t>SEL-RET-002</t>
        </is>
      </c>
      <c r="B3" s="8" t="inlineStr">
        <is>
          <t>Returns &amp; Refunds</t>
        </is>
      </c>
      <c r="C3" s="8" t="inlineStr">
        <is>
          <t>Approve a return request</t>
        </is>
      </c>
      <c r="D3" s="8" t="inlineStr">
        <is>
          <t>State Transition</t>
        </is>
      </c>
      <c r="E3" s="8" t="inlineStr">
        <is>
          <t>High</t>
        </is>
      </c>
      <c r="F3" s="8" t="inlineStr">
        <is>
          <t>Logged in as Seller 1 (Approved). A pending return request exists.</t>
        </is>
      </c>
      <c r="G3" s="8" t="inlineStr">
        <is>
          <t>1. Click Approve.
2. As Buyer 1, open the order.</t>
        </is>
      </c>
      <c r="H3" s="8" t="inlineStr"/>
      <c r="I3" s="8" t="inlineStr">
        <is>
          <t>Status Return Approved on both sides. Buyer 1 is notified and sees return instructions. The amount moves out of Seller 1's pending earnings.</t>
        </is>
      </c>
      <c r="J3" s="8" t="inlineStr">
        <is>
          <t>A15, A23</t>
        </is>
      </c>
      <c r="K3" s="5" t="inlineStr">
        <is>
          <t xml:space="preserve">Seller accepted return with HTTP 200; order becomes RETURNED, not a distinct Return Approved state with return instructions. The required staged return approval is absent.</t>
        </is>
      </c>
      <c r="L3" s="5" t="inlineStr">
        <is>
          <t xml:space="preserve">Fail</t>
        </is>
      </c>
      <c r="M3" s="5" t="inlineStr">
        <is>
          <t xml:space="preserve">Tested through the local system API on isolated velure_blackbox; judged against the workbook expected result.</t>
        </is>
      </c>
    </row>
    <row r="4" ht="42.25" customHeight="1">
      <c r="A4" s="7" t="inlineStr">
        <is>
          <t>SEL-RET-003</t>
        </is>
      </c>
      <c r="B4" s="8" t="inlineStr">
        <is>
          <t>Returns &amp; Refunds</t>
        </is>
      </c>
      <c r="C4" s="8" t="inlineStr">
        <is>
          <t>Reject without a reason</t>
        </is>
      </c>
      <c r="D4" s="8" t="inlineStr">
        <is>
          <t>Equivalence Partitioning</t>
        </is>
      </c>
      <c r="E4" s="8" t="inlineStr">
        <is>
          <t>High</t>
        </is>
      </c>
      <c r="F4" s="8" t="inlineStr">
        <is>
          <t>Logged in as Seller 1 (Approved). A pending return request exists.</t>
        </is>
      </c>
      <c r="G4" s="8" t="inlineStr">
        <is>
          <t>1. Click Reject and submit with an empty reason, then with 9 characters.</t>
        </is>
      </c>
      <c r="H4" s="8" t="inlineStr">
        <is>
          <t>Reason: 'Item used' (9 characters)</t>
        </is>
      </c>
      <c r="I4" s="8" t="inlineStr">
        <is>
          <t>Both are blocked; the reason needs 10–300 characters. The request stays pending.</t>
        </is>
      </c>
      <c r="J4" s="8" t="inlineStr">
        <is>
          <t>A25</t>
        </is>
      </c>
      <c r="K4" s="5" t="inlineStr">
        <is>
          <t xml:space="preserve">Reject reason Item used (9 characters) returned 200; required minimum is 10 characters.</t>
        </is>
      </c>
      <c r="L4" s="5" t="inlineStr">
        <is>
          <t xml:space="preserve">Fail</t>
        </is>
      </c>
      <c r="M4" s="5" t="inlineStr">
        <is>
          <t xml:space="preserve">Tested through the local system API on isolated velure_blackbox; judged against the workbook expected result.</t>
        </is>
      </c>
    </row>
    <row r="5" ht="29.5" customHeight="1">
      <c r="A5" s="7" t="inlineStr">
        <is>
          <t>SEL-RET-004</t>
        </is>
      </c>
      <c r="B5" s="8" t="inlineStr">
        <is>
          <t>Returns &amp; Refunds</t>
        </is>
      </c>
      <c r="C5" s="8" t="inlineStr">
        <is>
          <t>Reject with a reason</t>
        </is>
      </c>
      <c r="D5" s="8" t="inlineStr">
        <is>
          <t>State Transition</t>
        </is>
      </c>
      <c r="E5" s="8" t="inlineStr">
        <is>
          <t>High</t>
        </is>
      </c>
      <c r="F5" s="8" t="inlineStr">
        <is>
          <t>Logged in as Seller 1 (Approved).</t>
        </is>
      </c>
      <c r="G5" s="8" t="inlineStr">
        <is>
          <t>1. Reject with the test reason.
2. As Buyer 1, open the request.</t>
        </is>
      </c>
      <c r="H5" s="8" t="inlineStr">
        <is>
          <t>Reason: Item shows signs of use and the tag is removed.</t>
        </is>
      </c>
      <c r="I5" s="8" t="inlineStr">
        <is>
          <t>Status Rejected on both sides; Buyer 1 sees the exact reason and an Escalate button.</t>
        </is>
      </c>
      <c r="J5" s="8" t="inlineStr">
        <is>
          <t>A31</t>
        </is>
      </c>
      <c r="K5" s="5" t="inlineStr">
        <is>
          <t xml:space="preserve">Rejecting a return updates the dispute to in_progress and immediately refers it to mediation. No distinct Rejected state followed by a one-time buyer Escalate action exists.</t>
        </is>
      </c>
      <c r="L5" s="5" t="inlineStr">
        <is>
          <t xml:space="preserve">Fail</t>
        </is>
      </c>
      <c r="M5" s="5" t="inlineStr">
        <is>
          <t xml:space="preserve">Implementation review: backend/app/Http/Controllers/Api/V1/SellerOrderController.php:325. Required behavior in this case is absent or differs. This finding is not a claimed browser execution.</t>
        </is>
      </c>
    </row>
    <row r="6" ht="42.25" customHeight="1">
      <c r="A6" s="7" t="inlineStr">
        <is>
          <t>SEL-RET-005</t>
        </is>
      </c>
      <c r="B6" s="8" t="inlineStr">
        <is>
          <t>Returns &amp; Refunds</t>
        </is>
      </c>
      <c r="C6" s="8" t="inlineStr">
        <is>
          <t>Escalate to a dispute</t>
        </is>
      </c>
      <c r="D6" s="8" t="inlineStr">
        <is>
          <t>State Transition</t>
        </is>
      </c>
      <c r="E6" s="8" t="inlineStr">
        <is>
          <t>Medium</t>
        </is>
      </c>
      <c r="F6" s="8" t="inlineStr">
        <is>
          <t>The request was rejected less than 3 days ago.</t>
        </is>
      </c>
      <c r="G6" s="8" t="inlineStr">
        <is>
          <t>1. As Buyer 1, click Escalate.
2. As Seller 1, open the request.
3. As Buyer 1, try to escalate again.</t>
        </is>
      </c>
      <c r="H6" s="8" t="inlineStr"/>
      <c r="I6" s="8" t="inlineStr">
        <is>
          <t>Status In Dispute for both sides. Seller 1 can no longer approve or reject. A second escalation is not possible.</t>
        </is>
      </c>
      <c r="J6" s="8" t="inlineStr">
        <is>
          <t>A31</t>
        </is>
      </c>
      <c r="K6" s="5" t="inlineStr">
        <is>
          <t xml:space="preserve">Could not complete escalate to a dispute: there is no separate Rejected return state and buyer escalation action to establish the required escalation prerequisite.</t>
        </is>
      </c>
      <c r="L6" s="5" t="inlineStr">
        <is>
          <t xml:space="preserve">Blocked</t>
        </is>
      </c>
      <c r="M6" s="5" t="inlineStr">
        <is>
          <t xml:space="preserve">Blocked prerequisite: SEL-RET-004. The required setup/action was unavailable, so the dependent expected result was not verified. Evidence reviewed from the existing runtime/implementation findings; this status review did not rerun the system.</t>
        </is>
      </c>
    </row>
    <row r="7" ht="29.5" customHeight="1">
      <c r="A7" s="7" t="inlineStr">
        <is>
          <t>SEL-RET-006</t>
        </is>
      </c>
      <c r="B7" s="8" t="inlineStr">
        <is>
          <t>Returns &amp; Refunds</t>
        </is>
      </c>
      <c r="C7" s="8" t="inlineStr">
        <is>
          <t>No response within 3 days</t>
        </is>
      </c>
      <c r="D7" s="8" t="inlineStr">
        <is>
          <t>Boundary Value Analysis</t>
        </is>
      </c>
      <c r="E7" s="8" t="inlineStr">
        <is>
          <t>Medium</t>
        </is>
      </c>
      <c r="F7" s="8" t="inlineStr">
        <is>
          <t>A return request was submitted.</t>
        </is>
      </c>
      <c r="G7" s="8" t="inlineStr">
        <is>
          <t>1. Do not respond. Check the request just before and just after 3 days.</t>
        </is>
      </c>
      <c r="H7" s="8" t="inlineStr"/>
      <c r="I7" s="8" t="inlineStr">
        <is>
          <t>Pending before 3 days; Auto-approved after, and Buyer 1 is notified.</t>
        </is>
      </c>
      <c r="J7" s="8" t="inlineStr">
        <is>
          <t>A31</t>
        </is>
      </c>
      <c r="K7" s="5" t="inlineStr">
        <is>
          <t xml:space="preserve">No scheduled job auto-approves an unanswered return after three days. The configured console schedule concerns completion/earnings, not return-response deadlines.</t>
        </is>
      </c>
      <c r="L7" s="5" t="inlineStr">
        <is>
          <t xml:space="preserve">Fail</t>
        </is>
      </c>
      <c r="M7" s="5" t="inlineStr">
        <is>
          <t xml:space="preserve">Implementation review: backend/routes/console.php:1. Required behavior in this case is absent or differs. This finding is not a claimed browser execution.</t>
        </is>
      </c>
    </row>
    <row r="8" ht="29.5" customHeight="1">
      <c r="A8" s="7" t="inlineStr">
        <is>
          <t>SEL-RET-007</t>
        </is>
      </c>
      <c r="B8" s="8" t="inlineStr">
        <is>
          <t>Returns &amp; Refunds</t>
        </is>
      </c>
      <c r="C8" s="8" t="inlineStr">
        <is>
          <t>Refunded amount removed from earnings</t>
        </is>
      </c>
      <c r="D8" s="8" t="inlineStr">
        <is>
          <t>Use Case Testing</t>
        </is>
      </c>
      <c r="E8" s="8" t="inlineStr">
        <is>
          <t>Medium</t>
        </is>
      </c>
      <c r="F8" s="8" t="inlineStr">
        <is>
          <t>A return for P-02 (₱450.00) was approved and refunded.</t>
        </is>
      </c>
      <c r="G8" s="8" t="inlineStr">
        <is>
          <t>1. Open Sales Reports and Earnings.</t>
        </is>
      </c>
      <c r="H8" s="8" t="inlineStr"/>
      <c r="I8" s="8" t="inlineStr">
        <is>
          <t>₱450.00 and its commission are excluded from gross sales and earnings.</t>
        </is>
      </c>
      <c r="J8" s="8" t="inlineStr">
        <is>
          <t>A15</t>
        </is>
      </c>
      <c r="K8" s="5" t="inlineStr">
        <is>
          <t xml:space="preserve">Could not complete refunded amount removed from earnings: the system does not produce the specified approved-and-refunded return; no actual refund transaction exists whose earnings effect can be measured. Partial observation: A RETURNED order is excluded from the earnings breakdown, but that does not verify a genuine refund.</t>
        </is>
      </c>
      <c r="L8" s="5" t="inlineStr">
        <is>
          <t xml:space="preserve">Blocked</t>
        </is>
      </c>
      <c r="M8" s="5" t="inlineStr">
        <is>
          <t xml:space="preserve">Blocked prerequisite: SEL-RET-002. The required setup/action was unavailable, so the dependent expected result was not verified. Evidence reviewed from the existing runtime/implementation findings; this status review did not rerun the system.</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SEL-REV-001</t>
        </is>
      </c>
      <c r="B2" s="8" t="inlineStr">
        <is>
          <t>Reviews &amp; Buyer Chat</t>
        </is>
      </c>
      <c r="C2" s="8" t="inlineStr">
        <is>
          <t>View and filter reviews</t>
        </is>
      </c>
      <c r="D2" s="8" t="inlineStr">
        <is>
          <t>Use Case Testing</t>
        </is>
      </c>
      <c r="E2" s="8" t="inlineStr">
        <is>
          <t>Medium</t>
        </is>
      </c>
      <c r="F2" s="8" t="inlineStr">
        <is>
          <t>Logged in as Seller 1 (Approved). P-02 has a 5-star, a 3-star and a 1-star review.</t>
        </is>
      </c>
      <c r="G2" s="8" t="inlineStr">
        <is>
          <t>1. Open Reviews.
2. Filter by 1 star, then 5 stars.</t>
        </is>
      </c>
      <c r="H2" s="8" t="inlineStr"/>
      <c r="I2" s="8" t="inlineStr">
        <is>
          <t>All 3 reviews are listed with stars, text, photos, variant and date. Each filter shows only matching reviews.</t>
        </is>
      </c>
      <c r="J2" s="8" t="inlineStr"/>
      <c r="K2" s="5" t="inlineStr">
        <is>
          <t xml:space="preserve">The seller Reviews &amp; Ratings route renders AdminPlaceholderPage, not a review table with photo/variant/date and rating filters. The required seller review list is unavailable.</t>
        </is>
      </c>
      <c r="L2" s="5" t="inlineStr">
        <is>
          <t xml:space="preserve">Fail</t>
        </is>
      </c>
      <c r="M2" s="5" t="inlineStr">
        <is>
          <t xml:space="preserve">Implementation review: frontend/src/App.tsx:314. Required behavior in this case is absent or differs. This finding is not a claimed browser execution.</t>
        </is>
      </c>
    </row>
    <row r="3" ht="29.5" customHeight="1">
      <c r="A3" s="7" t="inlineStr">
        <is>
          <t>SEL-REV-002</t>
        </is>
      </c>
      <c r="B3" s="8" t="inlineStr">
        <is>
          <t>Reviews &amp; Buyer Chat</t>
        </is>
      </c>
      <c r="C3" s="8" t="inlineStr">
        <is>
          <t>Reply to a review</t>
        </is>
      </c>
      <c r="D3" s="8" t="inlineStr">
        <is>
          <t>Use Case Testing</t>
        </is>
      </c>
      <c r="E3" s="8" t="inlineStr">
        <is>
          <t>Medium</t>
        </is>
      </c>
      <c r="F3" s="8" t="inlineStr">
        <is>
          <t>Logged in as Seller 1 (Approved).</t>
        </is>
      </c>
      <c r="G3" s="8" t="inlineStr">
        <is>
          <t>1. Reply to the 5-star review.
2. As Buyer 1, open P-02's reviews.</t>
        </is>
      </c>
      <c r="H3" s="8" t="inlineStr">
        <is>
          <t>Reply: Salamat po! Enjoy your basket.</t>
        </is>
      </c>
      <c r="I3" s="8" t="inlineStr">
        <is>
          <t>The reply appears under that review, labelled as the seller's response.</t>
        </is>
      </c>
      <c r="J3" s="8" t="inlineStr">
        <is>
          <t>A12</t>
        </is>
      </c>
      <c r="K3" s="5" t="inlineStr">
        <is>
          <t xml:space="preserve">Review routes expose buyer create/edit and public/admin read views; there is no seller reply-create or reply-edit route for the response workflow required here.</t>
        </is>
      </c>
      <c r="L3" s="5" t="inlineStr">
        <is>
          <t xml:space="preserve">Fail</t>
        </is>
      </c>
      <c r="M3" s="5" t="inlineStr">
        <is>
          <t xml:space="preserve">Implementation review: backend/routes/api.php:167. Required behavior in this case is absent or differs. This finding is not a claimed browser execution.</t>
        </is>
      </c>
    </row>
    <row r="4" ht="42.25" customHeight="1">
      <c r="A4" s="7" t="inlineStr">
        <is>
          <t>SEL-REV-003</t>
        </is>
      </c>
      <c r="B4" s="8" t="inlineStr">
        <is>
          <t>Reviews &amp; Buyer Chat</t>
        </is>
      </c>
      <c r="C4" s="8" t="inlineStr">
        <is>
          <t>Second reply and edit reply</t>
        </is>
      </c>
      <c r="D4" s="8" t="inlineStr">
        <is>
          <t>Equivalence Partitioning</t>
        </is>
      </c>
      <c r="E4" s="8" t="inlineStr">
        <is>
          <t>Low</t>
        </is>
      </c>
      <c r="F4" s="8" t="inlineStr">
        <is>
          <t>Logged in as Seller 1 (Approved). A reply exists.</t>
        </is>
      </c>
      <c r="G4" s="8" t="inlineStr">
        <is>
          <t>1. Try to post a second reply to the same review.
2. Edit the first reply.</t>
        </is>
      </c>
      <c r="H4" s="8" t="inlineStr">
        <is>
          <t>Edited: Salamat po sa tiwala!</t>
        </is>
      </c>
      <c r="I4" s="8" t="inlineStr">
        <is>
          <t>A second reply is not possible. The edit saves and replaces the first reply.</t>
        </is>
      </c>
      <c r="J4" s="8" t="inlineStr">
        <is>
          <t>A12</t>
        </is>
      </c>
      <c r="K4" s="5" t="inlineStr">
        <is>
          <t xml:space="preserve">Could not complete second reply and edit reply: a seller review reply cannot be created, so there is no existing reply for second-reply/edit testing.</t>
        </is>
      </c>
      <c r="L4" s="5" t="inlineStr">
        <is>
          <t xml:space="preserve">Blocked</t>
        </is>
      </c>
      <c r="M4" s="5" t="inlineStr">
        <is>
          <t xml:space="preserve">Blocked prerequisite: SEL-REV-002. The required setup/action was unavailable, so the dependent expected result was not verified. Evidence reviewed from the existing runtime/implementation findings; this status review did not rerun the system.</t>
        </is>
      </c>
    </row>
    <row r="5" ht="55" customHeight="1">
      <c r="A5" s="7" t="inlineStr">
        <is>
          <t>SEL-REV-004</t>
        </is>
      </c>
      <c r="B5" s="8" t="inlineStr">
        <is>
          <t>Reviews &amp; Buyer Chat</t>
        </is>
      </c>
      <c r="C5" s="8" t="inlineStr">
        <is>
          <t>Seller cannot delete or hide a review</t>
        </is>
      </c>
      <c r="D5" s="8" t="inlineStr">
        <is>
          <t>Error Guessing</t>
        </is>
      </c>
      <c r="E5" s="8" t="inlineStr">
        <is>
          <t>High</t>
        </is>
      </c>
      <c r="F5" s="8" t="inlineStr">
        <is>
          <t>Logged in as Seller 1 (Approved).</t>
        </is>
      </c>
      <c r="G5" s="8" t="inlineStr">
        <is>
          <t>1. Look for Delete or Hide on the 1-star review.
2. Try a delete request directly if possible.</t>
        </is>
      </c>
      <c r="H5" s="8" t="inlineStr"/>
      <c r="I5" s="8" t="inlineStr">
        <is>
          <t>No Delete or Hide option. A direct request is rejected (403). The review is still visible to buyers.</t>
        </is>
      </c>
      <c r="J5" s="8" t="inlineStr">
        <is>
          <t>A12</t>
        </is>
      </c>
      <c r="K5" s="5" t="inlineStr">
        <is>
          <t xml:space="preserve">Seller delete-review HTTP 405; buyer-review edit HTTP 403; public review list still returned 200. No seller hide/delete route exists.</t>
        </is>
      </c>
      <c r="L5" s="5" t="inlineStr">
        <is>
          <t xml:space="preserve">Pass</t>
        </is>
      </c>
      <c r="M5" s="5" t="inlineStr">
        <is>
          <t xml:space="preserve">Tested through the local system API on isolated velure_blackbox; judged against the workbook expected result.</t>
        </is>
      </c>
    </row>
    <row r="6" ht="42.25" customHeight="1">
      <c r="A6" s="7" t="inlineStr">
        <is>
          <t>SEL-REV-005</t>
        </is>
      </c>
      <c r="B6" s="8" t="inlineStr">
        <is>
          <t>Reviews &amp; Buyer Chat</t>
        </is>
      </c>
      <c r="C6" s="8" t="inlineStr">
        <is>
          <t>Chat with a buyer, with attachment</t>
        </is>
      </c>
      <c r="D6" s="8" t="inlineStr">
        <is>
          <t>Use Case Testing</t>
        </is>
      </c>
      <c r="E6" s="8" t="inlineStr">
        <is>
          <t>Medium</t>
        </is>
      </c>
      <c r="F6" s="8" t="inlineStr">
        <is>
          <t>Logged in as Seller 1 (Approved). Buyer 1 sent a message about P-02.</t>
        </is>
      </c>
      <c r="G6" s="8" t="inlineStr">
        <is>
          <t>1. Reply with text and attach review_photo.jpg.
2. As Buyer 1, open the chat.</t>
        </is>
      </c>
      <c r="H6" s="8" t="inlineStr">
        <is>
          <t>Text: Opo, available pa.</t>
        </is>
      </c>
      <c r="I6" s="8" t="inlineStr">
        <is>
          <t>Buyer 1 receives the text and the image in the right order with timestamps.</t>
        </is>
      </c>
      <c r="J6" s="8" t="inlineStr">
        <is>
          <t>A16</t>
        </is>
      </c>
      <c r="K6" s="5" t="inlineStr">
        <is>
          <t xml:space="preserve">Could not complete chat with a buyer, with attachment: the buyer-to-approved-seller conversation could not be opened; the required incoming buyer message/thread is unavailable for a seller reply.</t>
        </is>
      </c>
      <c r="L6" s="5" t="inlineStr">
        <is>
          <t xml:space="preserve">Blocked</t>
        </is>
      </c>
      <c r="M6" s="5" t="inlineStr">
        <is>
          <t xml:space="preserve">Blocked prerequisite: BUY-CHAT-001. The required setup/action was unavailable, so the dependent expected result was not verified. Evidence reviewed from the existing runtime/implementation findings; this status review did not rerun the system.</t>
        </is>
      </c>
    </row>
    <row r="7" ht="42.25" customHeight="1">
      <c r="A7" s="7" t="inlineStr">
        <is>
          <t>SEL-REV-006</t>
        </is>
      </c>
      <c r="B7" s="8" t="inlineStr">
        <is>
          <t>Reviews &amp; Buyer Chat</t>
        </is>
      </c>
      <c r="C7" s="8" t="inlineStr">
        <is>
          <t>Invalid chat attachments</t>
        </is>
      </c>
      <c r="D7" s="8" t="inlineStr">
        <is>
          <t>Equivalence Partitioning</t>
        </is>
      </c>
      <c r="E7" s="8" t="inlineStr">
        <is>
          <t>Low</t>
        </is>
      </c>
      <c r="F7" s="8" t="inlineStr">
        <is>
          <t>Logged in as Seller 1 (Approved).</t>
        </is>
      </c>
      <c r="G7" s="8" t="inlineStr">
        <is>
          <t>1. Attach each file.</t>
        </is>
      </c>
      <c r="H7" s="8" t="inlineStr">
        <is>
          <t>size_5.1MB.jpg (reject)
installer.exe (reject)
renamed_exe.jpg (reject)</t>
        </is>
      </c>
      <c r="I7" s="8" t="inlineStr">
        <is>
          <t>All three are rejected with a message and nothing is sent.</t>
        </is>
      </c>
      <c r="J7" s="8" t="inlineStr">
        <is>
          <t>A16</t>
        </is>
      </c>
      <c r="K7" s="5" t="inlineStr">
        <is>
          <t xml:space="preserve">Could not complete invalid chat attachments: no valid seller conversation could be initialized, so the invalid files could not be submitted in the required seller thread. Partial observation: The alternative GET /my-conversation initialization returned HTTP 500.</t>
        </is>
      </c>
      <c r="L7" s="5" t="inlineStr">
        <is>
          <t xml:space="preserve">Blocked</t>
        </is>
      </c>
      <c r="M7" s="5" t="inlineStr">
        <is>
          <t xml:space="preserve">Blocked prerequisite: BUY-CHAT-001. The required setup/action was unavailable, so the dependent expected result was not verified. Evidence reviewed from the existing runtime/implementation findings; this status review did not rerun the system.</t>
        </is>
      </c>
    </row>
    <row r="8" ht="55" customHeight="1">
      <c r="A8" s="7" t="inlineStr">
        <is>
          <t>SEL-REV-007</t>
        </is>
      </c>
      <c r="B8" s="8" t="inlineStr">
        <is>
          <t>Reviews &amp; Buyer Chat</t>
        </is>
      </c>
      <c r="C8" s="8" t="inlineStr">
        <is>
          <t>Message length and empty message</t>
        </is>
      </c>
      <c r="D8" s="8" t="inlineStr">
        <is>
          <t>Boundary Value Analysis</t>
        </is>
      </c>
      <c r="E8" s="8" t="inlineStr">
        <is>
          <t>Low</t>
        </is>
      </c>
      <c r="F8" s="8" t="inlineStr">
        <is>
          <t>Logged in as Seller 1 (Approved).</t>
        </is>
      </c>
      <c r="G8" s="8" t="inlineStr">
        <is>
          <t>1. Send an empty message.
2. Send a message of spaces only.
3. Send 1,000 characters.
4. Send 1,001 characters.</t>
        </is>
      </c>
      <c r="H8" s="8" t="inlineStr"/>
      <c r="I8" s="8" t="inlineStr">
        <is>
          <t>Empty and spaces-only messages are not sent. 1,000 characters are sent in full. 1,001 are blocked or input stops at 1,000.</t>
        </is>
      </c>
      <c r="J8" s="8" t="inlineStr">
        <is>
          <t>A25</t>
        </is>
      </c>
      <c r="K8" s="5" t="inlineStr">
        <is>
          <t xml:space="preserve">Could not complete message length and empty message: no valid seller conversation could be initialized, preventing seller-specific empty/length boundary submissions. Partial observation: The shared validator allows 2,000 characters and a buyer/admin thread accepted 1,001; that is not a completed seller-thread test.</t>
        </is>
      </c>
      <c r="L8" s="5" t="inlineStr">
        <is>
          <t xml:space="preserve">Blocked</t>
        </is>
      </c>
      <c r="M8" s="5" t="inlineStr">
        <is>
          <t xml:space="preserve">Blocked prerequisite: BUY-CHAT-001. The required setup/action was unavailable, so the dependent expected result was not verified. Evidence reviewed from the existing runtime/implementation findings; this status review did not rerun the system.</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SEL-EARN-001</t>
        </is>
      </c>
      <c r="B2" s="8" t="inlineStr">
        <is>
          <t>Sales Reports &amp; Earnings</t>
        </is>
      </c>
      <c r="C2" s="8" t="inlineStr">
        <is>
          <t>Net earnings calculation</t>
        </is>
      </c>
      <c r="D2" s="8" t="inlineStr">
        <is>
          <t>Use Case Testing</t>
        </is>
      </c>
      <c r="E2" s="8" t="inlineStr">
        <is>
          <t>High</t>
        </is>
      </c>
      <c r="F2" s="8" t="inlineStr">
        <is>
          <t>Logged in as Seller 1 (Approved). The worked checkout example order is Completed.</t>
        </is>
      </c>
      <c r="G2" s="8" t="inlineStr">
        <is>
          <t>1. Open Earnings and the order's breakdown.</t>
        </is>
      </c>
      <c r="H2" s="8" t="inlineStr">
        <is>
          <t>Worked checkout example</t>
        </is>
      </c>
      <c r="I2" s="8" t="inlineStr">
        <is>
          <t>Gross ₱699.00; seller voucher −₱50.00; commission −₱32.45; net ₱616.55. PLAT100 (₱63.66 share), FREESHIP and the ₱65.00 shipping fee do not appear as deductions.</t>
        </is>
      </c>
      <c r="J2" s="8" t="inlineStr">
        <is>
          <t>A8, A9</t>
        </is>
      </c>
      <c r="K2" s="5" t="inlineStr">
        <is>
          <t xml:space="preserve">Could not complete net earnings calculation: the exact voucher-based worked example order cannot be created/completed, so its specified 616.55 earnings and balance transitions cannot be measured.</t>
        </is>
      </c>
      <c r="L2" s="5" t="inlineStr">
        <is>
          <t xml:space="preserve">Blocked</t>
        </is>
      </c>
      <c r="M2" s="5" t="inlineStr">
        <is>
          <t xml:space="preserve">Blocked prerequisite: BUY-CHK-001. The required setup/action was unavailable, so the dependent expected result was not verified. Evidence reviewed from the existing runtime/implementation findings; this status review did not rerun the system.</t>
        </is>
      </c>
    </row>
    <row r="3" ht="42.25" customHeight="1">
      <c r="A3" s="7" t="inlineStr">
        <is>
          <t>SEL-EARN-002</t>
        </is>
      </c>
      <c r="B3" s="8" t="inlineStr">
        <is>
          <t>Sales Reports &amp; Earnings</t>
        </is>
      </c>
      <c r="C3" s="8" t="inlineStr">
        <is>
          <t>Earnings pending until completion</t>
        </is>
      </c>
      <c r="D3" s="8" t="inlineStr">
        <is>
          <t>State Transition</t>
        </is>
      </c>
      <c r="E3" s="8" t="inlineStr">
        <is>
          <t>High</t>
        </is>
      </c>
      <c r="F3" s="8" t="inlineStr">
        <is>
          <t>Logged in as Seller 1 (Approved). The example order is Delivered, not Completed.</t>
        </is>
      </c>
      <c r="G3" s="8" t="inlineStr">
        <is>
          <t>1. Check Pending and Available balances.
2. As Buyer 1, click Order Received.
3. Check the balances again.</t>
        </is>
      </c>
      <c r="H3" s="8" t="inlineStr"/>
      <c r="I3" s="8" t="inlineStr">
        <is>
          <t>Before: ₱616.55 in Pending, not in Available. After: ₱616.55 moved to Available; Pending reduced by the same amount.</t>
        </is>
      </c>
      <c r="J3" s="8" t="inlineStr">
        <is>
          <t>A15</t>
        </is>
      </c>
      <c r="K3" s="5" t="inlineStr">
        <is>
          <t xml:space="preserve">Could not complete earnings pending until completion: the exact voucher-based worked example order cannot be created/completed, so its specified 616.55 earnings and balance transitions cannot be measured.</t>
        </is>
      </c>
      <c r="L3" s="5" t="inlineStr">
        <is>
          <t xml:space="preserve">Blocked</t>
        </is>
      </c>
      <c r="M3" s="5" t="inlineStr">
        <is>
          <t xml:space="preserve">Blocked prerequisite: BUY-CHK-001. The required setup/action was unavailable, so the dependent expected result was not verified. Evidence reviewed from the existing runtime/implementation findings; this status review did not rerun the system.</t>
        </is>
      </c>
    </row>
    <row r="4" ht="42.25" customHeight="1">
      <c r="A4" s="7" t="inlineStr">
        <is>
          <t>SEL-EARN-003</t>
        </is>
      </c>
      <c r="B4" s="8" t="inlineStr">
        <is>
          <t>Sales Reports &amp; Earnings</t>
        </is>
      </c>
      <c r="C4" s="8" t="inlineStr">
        <is>
          <t>Cancelled and refunded orders excluded</t>
        </is>
      </c>
      <c r="D4" s="8" t="inlineStr">
        <is>
          <t>Equivalence Partitioning</t>
        </is>
      </c>
      <c r="E4" s="8" t="inlineStr">
        <is>
          <t>High</t>
        </is>
      </c>
      <c r="F4" s="8" t="inlineStr">
        <is>
          <t>Logged in as Seller 1 (Approved). One cancelled and one refunded order exist in the period.</t>
        </is>
      </c>
      <c r="G4" s="8" t="inlineStr">
        <is>
          <t>1. Open Sales Reports for the period.</t>
        </is>
      </c>
      <c r="H4" s="8" t="inlineStr"/>
      <c r="I4" s="8" t="inlineStr">
        <is>
          <t>Neither order adds to gross sales, commission or earnings. They are not counted in the completed-order count.</t>
        </is>
      </c>
      <c r="J4" s="8" t="inlineStr">
        <is>
          <t>A15</t>
        </is>
      </c>
      <c r="K4" s="5" t="inlineStr">
        <is>
          <t xml:space="preserve">Could not complete cancelled and refunded orders excluded: the required genuinely refunded order is unavailable, so the combined cancelled/refunded comparison cannot be completed. Partial observation: Cancellation was tested and gross decreased by 500.00; that verifies only the cancelled-order part.</t>
        </is>
      </c>
      <c r="L4" s="5" t="inlineStr">
        <is>
          <t xml:space="preserve">Blocked</t>
        </is>
      </c>
      <c r="M4" s="5" t="inlineStr">
        <is>
          <t xml:space="preserve">Blocked prerequisite: SEL-RET-007. The required setup/action was unavailable, so the dependent expected result was not verified. Evidence reviewed from the existing runtime/implementation findings; this status review did not rerun the system.</t>
        </is>
      </c>
    </row>
    <row r="5" ht="55" customHeight="1">
      <c r="A5" s="7" t="inlineStr">
        <is>
          <t>SEL-EARN-004</t>
        </is>
      </c>
      <c r="B5" s="8" t="inlineStr">
        <is>
          <t>Sales Reports &amp; Earnings</t>
        </is>
      </c>
      <c r="C5" s="8" t="inlineStr">
        <is>
          <t>Report date range</t>
        </is>
      </c>
      <c r="D5" s="8" t="inlineStr">
        <is>
          <t>Boundary Value Analysis</t>
        </is>
      </c>
      <c r="E5" s="8" t="inlineStr">
        <is>
          <t>Medium</t>
        </is>
      </c>
      <c r="F5" s="8" t="inlineStr">
        <is>
          <t>Logged in as Seller 1 (Approved).</t>
        </is>
      </c>
      <c r="G5" s="8" t="inlineStr">
        <is>
          <t>1. Filter today, last 7 days, and a custom range that starts and ends on an order's date.
2. Try an end date before the start date.</t>
        </is>
      </c>
      <c r="H5" s="8" t="inlineStr"/>
      <c r="I5" s="8" t="inlineStr">
        <is>
          <t>Totals match the orders in each range, and an order on the start or end date is included. The invalid range is rejected.</t>
        </is>
      </c>
      <c r="J5" s="8" t="inlineStr"/>
      <c r="K5" s="5" t="inlineStr">
        <is>
          <t xml:space="preserve">Sales reports accept preset range values but do not validate arbitrary from/to dates or reject a reversed custom date range as required by the workbook.</t>
        </is>
      </c>
      <c r="L5" s="5" t="inlineStr">
        <is>
          <t xml:space="preserve">Fail</t>
        </is>
      </c>
      <c r="M5" s="5" t="inlineStr">
        <is>
          <t xml:space="preserve">Implementation review: backend/app/Http/Controllers/Api/V1/SellerReportController.php:26. Required behavior in this case is absent or differs. This finding is not a claimed browser execution.</t>
        </is>
      </c>
    </row>
    <row r="6" ht="80.5" customHeight="1">
      <c r="A6" s="7" t="inlineStr">
        <is>
          <t>SEL-EARN-005</t>
        </is>
      </c>
      <c r="B6" s="8" t="inlineStr">
        <is>
          <t>Sales Reports &amp; Earnings</t>
        </is>
      </c>
      <c r="C6" s="8" t="inlineStr">
        <is>
          <t>Payout request amounts</t>
        </is>
      </c>
      <c r="D6" s="8" t="inlineStr">
        <is>
          <t>Boundary Value Analysis</t>
        </is>
      </c>
      <c r="E6" s="8" t="inlineStr">
        <is>
          <t>High</t>
        </is>
      </c>
      <c r="F6" s="8" t="inlineStr">
        <is>
          <t>Logged in as Seller 1 (Approved). Available balance ₱616.55; no pending payout.</t>
        </is>
      </c>
      <c r="G6" s="8" t="inlineStr">
        <is>
          <t>1. Request each amount, one per attempt (cancel any successful request before the next one).</t>
        </is>
      </c>
      <c r="H6" s="8" t="inlineStr">
        <is>
          <t>₱99.99 (reject)
₱100.00 (accept)
₱616.55 (accept)
₱616.56 (reject)
₱0 (reject)
abc (reject)</t>
        </is>
      </c>
      <c r="I6" s="8" t="inlineStr">
        <is>
          <t>Only ₱100.00 and ₱616.55 are accepted. A valid request lowers Available by that amount and shows a Pending payout.</t>
        </is>
      </c>
      <c r="J6" s="8" t="inlineStr">
        <is>
          <t>A15</t>
        </is>
      </c>
      <c r="K6" s="5" t="inlineStr">
        <is>
          <t xml:space="preserve">Available balance fixture 616.55; request outcomes [{"amount":99.99,"status":422},{"amount":100,"status":201},{"amount":616.55,"status":201},{"amount":616.56,"status":422},{"amount":0,"status":422},{"amount":"abc","status":422}].</t>
        </is>
      </c>
      <c r="L6" s="5" t="inlineStr">
        <is>
          <t xml:space="preserve">Pass</t>
        </is>
      </c>
      <c r="M6" s="5" t="inlineStr">
        <is>
          <t xml:space="preserve">Precondition seeded on a dedicated completed test order item in velure_blackbox. Each successful request was rejected through admin API to restore balance before the next amount.</t>
        </is>
      </c>
    </row>
    <row r="7" ht="29.5" customHeight="1">
      <c r="A7" s="7" t="inlineStr">
        <is>
          <t>SEL-EARN-006</t>
        </is>
      </c>
      <c r="B7" s="8" t="inlineStr">
        <is>
          <t>Sales Reports &amp; Earnings</t>
        </is>
      </c>
      <c r="C7" s="8" t="inlineStr">
        <is>
          <t>Second payout while one is pending</t>
        </is>
      </c>
      <c r="D7" s="8" t="inlineStr">
        <is>
          <t>Equivalence Partitioning</t>
        </is>
      </c>
      <c r="E7" s="8" t="inlineStr">
        <is>
          <t>Medium</t>
        </is>
      </c>
      <c r="F7" s="8" t="inlineStr">
        <is>
          <t>Logged in as Seller 1 (Approved). A ₱100.00 payout is pending.</t>
        </is>
      </c>
      <c r="G7" s="8" t="inlineStr">
        <is>
          <t>1. Request another ₱100.00.</t>
        </is>
      </c>
      <c r="H7" s="8" t="inlineStr"/>
      <c r="I7" s="8" t="inlineStr">
        <is>
          <t>Blocked with a message that a payout is already pending.</t>
        </is>
      </c>
      <c r="J7" s="8" t="inlineStr">
        <is>
          <t>A15</t>
        </is>
      </c>
      <c r="K7" s="5" t="inlineStr">
        <is>
          <t xml:space="preserve">First 100.00 request 201; second while first pending 201; ids 3/4. Pending-request exclusivity was not enforced.</t>
        </is>
      </c>
      <c r="L7" s="5" t="inlineStr">
        <is>
          <t xml:space="preserve">Fail</t>
        </is>
      </c>
      <c r="M7" s="5" t="inlineStr">
        <is>
          <t xml:space="preserve">Same seeded available balance; two requests executed through the real payout API.</t>
        </is>
      </c>
    </row>
    <row r="8" ht="29.5" customHeight="1">
      <c r="A8" s="7" t="inlineStr">
        <is>
          <t>SEL-EARN-007</t>
        </is>
      </c>
      <c r="B8" s="8" t="inlineStr">
        <is>
          <t>Sales Reports &amp; Earnings</t>
        </is>
      </c>
      <c r="C8" s="8" t="inlineStr">
        <is>
          <t>Double-click Request Payout</t>
        </is>
      </c>
      <c r="D8" s="8" t="inlineStr">
        <is>
          <t>Error Guessing</t>
        </is>
      </c>
      <c r="E8" s="8" t="inlineStr">
        <is>
          <t>Medium</t>
        </is>
      </c>
      <c r="F8" s="8" t="inlineStr">
        <is>
          <t>Logged in as Seller 1 (Approved).</t>
        </is>
      </c>
      <c r="G8" s="8" t="inlineStr">
        <is>
          <t>1. Double-click Request Payout.</t>
        </is>
      </c>
      <c r="H8" s="8" t="inlineStr"/>
      <c r="I8" s="8" t="inlineStr">
        <is>
          <t>Exactly one payout request exists and Available is lowered once.</t>
        </is>
      </c>
      <c r="J8" s="8" t="inlineStr">
        <is>
          <t>A37</t>
        </is>
      </c>
      <c r="K8" s="5" t="inlineStr">
        <is>
          <t xml:space="preserve">Concurrent identical 100.00 requests returned 201,201 with IDs 5,6; expected exactly one request.</t>
        </is>
      </c>
      <c r="L8" s="5" t="inlineStr">
        <is>
          <t xml:space="preserve">Fail</t>
        </is>
      </c>
      <c r="M8" s="5" t="inlineStr">
        <is>
          <t xml:space="preserve">Real concurrent API submit tested; test-only balance was seeded to isolate duplicate-request behavior.</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