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Rider" sheetId="5" state="visible" r:id="rId7"/>
  </sheets>
  <definedNames>
    <definedName function="false" hidden="false" localSheetId="4" name="_xlnm.Print_Titles" vbProcedure="false">Rider!$1:$1</definedName>
    <definedName function="false" hidden="true" localSheetId="4" name="_xlnm._FilterDatabase" vbProcedure="false">Rider!$A$1:$M$33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<sst xmlns="http://schemas.openxmlformats.org/spreadsheetml/2006/main" count="1052" uniqueCount="558">
  <si>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</si>
  <si>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</si>
  <si>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</si>
  <si>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</si>
  <si>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</si>
  <si>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</si>
  <si>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</si>
  <si>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</si>
  <si>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</si>
  <si>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</si>
  <si>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</si>
  <si>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</si>
  <si>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</si>
  <si>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</si>
  <si>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</si>
  <si>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</si>
  <si>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</si>
  <si>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</si>
  <si>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</si>
  <si>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</si>
  <si>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</si>
  <si>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</si>
  <si>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</si>
  <si>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</si>
  <si>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</si>
  <si>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</si>
  <si>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</si>
  <si>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</si>
  <si>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</si>
  <si>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</si>
  <si>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</si>
  <si>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</si>
  <si>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</si>
  <si>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</si>
  <si>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</si>
  <si>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</si>
  <si>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</si>
  <si>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</si>
  <si>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</si>
  <si>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</si>
  <si>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</si>
  <si>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</si>
  <si>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</si>
  <si>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</si>
  <si>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</si>
  <si>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</si>
  <si>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</si>
  <si>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</si>
  <si>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</si>
  <si>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</si>
  <si>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</si>
  <si>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</si>
  <si>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</si>
  <si>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</si>
  <si>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</si>
  <si>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</si>
  <si>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</si>
  <si>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</si>
  <si>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</si>
  <si>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</si>
  <si>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</si>
  <si>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</si>
  <si>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</si>
  <si>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</si>
  <si>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</si>
  <si>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</si>
  <si>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</si>
  <si>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</si>
  <si>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</si>
  <si>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</si>
  <si>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</si>
  <si>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</si>
  <si>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</si>
  <si>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</si>
  <si>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</si>
  <si>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</si>
  <si>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</si>
  <si>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</si>
  <si>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</si>
  <si>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</si>
  <si>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</si>
  <si>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</si>
  <si>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</si>
  <si>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</si>
  <si>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</si>
  <si>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</si>
  <si>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</si>
  <si>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</si>
  <si>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</si>
  <si>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</si>
  <si>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</si>
  <si>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</si>
  <si>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</si>
  <si>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</si>
  <si>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</si>
  <si>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</si>
  <si>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</si>
  <si>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</si>
  <si>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</si>
  <si>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</si>
  <si>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</si>
  <si>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</si>
  <si>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</si>
  <si>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</si>
  <si>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</si>
  <si>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</si>
  <si>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</si>
  <si>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</si>
  <si>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</si>
  <si>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</si>
  <si>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</si>
  <si>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</si>
  <si>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</si>
  <si>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</si>
  <si>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</si>
  <si>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</si>
  <si>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</si>
  <si>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</si>
  <si>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</si>
  <si>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</si>
  <si>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</si>
  <si>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</si>
  <si>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</si>
  <si>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</si>
  <si>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</si>
  <si>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</si>
  <si>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</si>
  <si>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</si>
  <si>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</si>
  <si>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</si>
  <si>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</si>
  <si>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</si>
  <si>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</si>
  <si>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</si>
  <si>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</si>
  <si>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</si>
  <si>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</si>
  <si>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</si>
  <si>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</si>
  <si>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</si>
  <si>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</si>
  <si>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</si>
  <si>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</si>
  <si>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</si>
  <si>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</si>
  <si>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</si>
  <si>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</si>
  <si>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</si>
  <si>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</si>
  <si>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</si>
  <si>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</si>
  <si>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</si>
  <si>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</si>
  <si>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</si>
  <si>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</si>
  <si>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</si>
  <si>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</si>
  <si>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</si>
  <si>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</si>
  <si>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</si>
  <si>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</si>
  <si>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</si>
  <si>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</si>
  <si>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</si>
  <si>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</si>
  <si>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</si>
  <si>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</si>
  <si>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</si>
  <si>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</si>
  <si>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</si>
  <si>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</si>
  <si>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</si>
  <si>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</si>
  <si>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</si>
  <si>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</si>
  <si>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</si>
  <si>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</si>
  <si>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</si>
  <si>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</si>
  <si>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</si>
  <si>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</si>
  <si>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</si>
  <si>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</si>
  <si>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</si>
  <si>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</si>
  <si>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</si>
  <si>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</si>
  <si>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</si>
  <si>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</si>
  <si>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</si>
  <si>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</si>
  <si>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</si>
  <si>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</si>
  <si>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</si>
  <si>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</si>
  <si>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</si>
  <si>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</si>
  <si>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</si>
  <si>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</si>
  <si>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</si>
  <si>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</si>
  <si>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</si>
  <si>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</si>
  <si>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</si>
  <si>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</si>
  <si>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</si>
  <si>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</si>
  <si>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</si>
  <si>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</si>
  <si>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</si>
  <si>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</si>
  <si>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</si>
  <si>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</si>
  <si>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</si>
  <si>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</si>
  <si>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</si>
  <si>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</si>
  <si>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</si>
  <si>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</si>
  <si>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</si>
  <si>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</si>
  <si>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</si>
  <si>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</si>
  <si>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</si>
  <si>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</si>
  <si>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</si>
  <si>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</si>
  <si>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</si>
  <si>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</si>
  <si>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</si>
  <si>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</si>
  <si>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</si>
  <si>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</si>
  <si>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</si>
  <si>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</si>
  <si>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</si>
  <si>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</si>
  <si>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</si>
  <si>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</si>
  <si>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</si>
  <si>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</si>
  <si>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</si>
  <si>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</si>
  <si>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</si>
  <si>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</si>
  <si>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</si>
  <si>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</si>
  <si>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</si>
  <si>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</si>
  <si>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</si>
  <si>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</si>
  <si>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</si>
  <si>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</si>
  <si>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</si>
  <si>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</si>
  <si>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</si>
  <si>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</si>
  <si>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</si>
  <si>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</si>
  <si>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</si>
  <si>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</si>
  <si>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</si>
  <si>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</si>
  <si>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</si>
  <si>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</si>
  <si>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</si>
  <si>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</si>
  <si>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</si>
  <si>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</si>
  <si>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</si>
  <si>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</si>
  <si>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</si>
  <si>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</si>
  <si>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</si>
  <si>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</si>
  <si>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</si>
  <si>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</si>
  <si>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</si>
  <si>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</si>
  <si>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</si>
  <si>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</si>
  <si>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</si>
  <si>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</si>
  <si>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</si>
  <si>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</si>
  <si>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</si>
  <si>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</si>
  <si>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</si>
  <si>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</si>
  <si>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</si>
  <si>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</si>
  <si>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</si>
  <si>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</si>
  <si>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</si>
  <si>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</si>
  <si>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</si>
  <si>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</si>
  <si>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</si>
  <si>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</si>
  <si>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</si>
  <si>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</si>
  <si>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</si>
  <si>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</si>
  <si>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</si>
  <si>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</si>
  <si>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</si>
  <si>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</si>
  <si>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</si>
  <si>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</si>
  <si>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</si>
  <si>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</si>
  <si>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</si>
  <si>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</si>
  <si>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</si>
  <si>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</si>
  <si>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</si>
  <si>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</si>
  <si>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</si>
  <si>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</si>
  <si>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</si>
  <si>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</si>
  <si>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</si>
  <si>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</si>
  <si>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</si>
  <si>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</si>
  <si>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</si>
  <si>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</si>
  <si>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</si>
  <si>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</si>
  <si>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</si>
  <si>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</si>
  <si>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</si>
  <si>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</si>
  <si>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</si>
  <si>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</si>
  <si>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</si>
  <si>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</si>
  <si>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</si>
  <si>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</si>
  <si>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</si>
  <si>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</si>
  <si>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</si>
  <si>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</si>
  <si>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</si>
  <si>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</si>
  <si>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</si>
  <si>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</si>
  <si>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</si>
  <si>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</si>
  <si>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</si>
  <si>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</si>
  <si>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</si>
  <si>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</si>
  <si>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</si>
  <si>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</si>
  <si>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</si>
  <si>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</si>
  <si>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</si>
  <si>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</si>
  <si>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</si>
  <si>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</si>
  <si>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</si>
  <si>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</si>
  <si>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</si>
  <si>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</si>
  <si>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</si>
  <si>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</si>
  <si>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</si>
  <si>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</si>
  <si>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</si>
  <si>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</si>
  <si>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</si>
  <si>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</si>
  <si>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</si>
  <si>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</si>
  <si>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</si>
  <si>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</si>
  <si>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TC-RID-001</t>
  </si>
  <si>
    <t xml:space="preserve">Add Rider Form</t>
  </si>
  <si>
    <t xml:space="preserve">Create a rider with all valid data</t>
  </si>
  <si>
    <t xml:space="preserve">High</t>
  </si>
  <si>
    <t xml:space="preserve">The Approved logistics account operations@bilishatid.example.com is logged in and the Add Rider form is open. The email, mobile number, license number and plate number in the test data are not yet registered.</t>
  </si>
  <si>
    <t xml:space="preserve">1. Fill in every field with the test data.
2. Click Save.</t>
  </si>
  <si>
    <t xml:space="preserve">First Name: Pedro Jose
Last Name: Garcia
Date of Birth: 03/22/1995
Email: pedrojose.garcia@example.com
Mobile Number: 09451239876
Driver's License No.: N01-23-456789
License Expiry Date: 03/22/2030
Vehicle Type: Motorcycle
Plate Number: 123ABC
Driver's License (upload): drivers_license.jpg (1.5 MB)
Vehicle OR/CR (upload): or_cr.pdf (900 KB)</t>
  </si>
  <si>
    <t xml:space="preserve">The rider is saved with no validation errors and appears in the rider list of Bilis Hatid Express Inc. with status Pending Activation. An activation email is sent to pedrojose.garcia@example.com.</t>
  </si>
  <si>
    <t xml:space="preserve">A1, A13</t>
  </si>
  <si>
    <t xml:space="preserve">TC-RID-002</t>
  </si>
  <si>
    <t xml:space="preserve">Required Fields</t>
  </si>
  <si>
    <t xml:space="preserve">Submit a completely empty form</t>
  </si>
  <si>
    <t xml:space="preserve">The Approved logistics account operations@bilishatid.example.com is logged in and the Add Rider form is open.</t>
  </si>
  <si>
    <t xml:space="preserve">1. Leave every field blank and every dropdown on its default option.
2. Click Save.</t>
  </si>
  <si>
    <t xml:space="preserve">All fields blank</t>
  </si>
  <si>
    <t xml:space="preserve">Saving is blocked. A required-field message is shown for every mandatory field. No rider is created and no email is sent.</t>
  </si>
  <si>
    <t xml:space="preserve">TC-RID-003</t>
  </si>
  <si>
    <t xml:space="preserve">Leave one required field blank at a time</t>
  </si>
  <si>
    <t xml:space="preserve">1. Fill in all fields with valid data.
2. Clear one required field.
3. Click Save.
4. Repeat for each field in the test data.</t>
  </si>
  <si>
    <t xml:space="preserve">Clear in turn:
First Name
Last Name
Date of Birth
Email
Mobile Number
Driver's License No.
License Expiry Date
Vehicle Type
Plate Number
Driver's License (upload)
Vehicle OR/CR (upload)</t>
  </si>
  <si>
    <t xml:space="preserve">Each time, saving is blocked and a required-field message is shown on the blank field only. Other entered values (except uploads) are kept. No rider is created.</t>
  </si>
  <si>
    <t xml:space="preserve">TC-RID-004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</si>
  <si>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</si>
  <si>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</si>
  <si>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</si>
  <si>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Save.</t>
  </si>
  <si>
    <t xml:space="preserve">First Name: Pedro Jose99
Last Name: Dela Cruz@#</t>
  </si>
  <si>
    <t xml:space="preserve">Saving is blocked. A message on each name field says only letters are allowed.</t>
  </si>
  <si>
    <t xml:space="preserve">TC-RID-005</t>
  </si>
  <si>
    <t xml:space="preserve">Name length at the limits</t>
  </si>
  <si>
    <t xml:space="preserve">1. Fill in all other fields with valid data.
2. Enter each first name in the test data, one per attempt.
3. Click Save.</t>
  </si>
  <si>
    <t xml:space="preserve">1 character: P (reject)
2 characters: Po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</si>
  <si>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</si>
  <si>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TC-RID-006</t>
  </si>
  <si>
    <t xml:space="preserve">Age at the 18-year limit</t>
  </si>
  <si>
    <t xml:space="preserve">1. Fill in all other fields with valid data.
2. Enter each date of birth in the test data, one per attempt.
3. Click Save.</t>
  </si>
  <si>
    <t xml:space="preserve">The 17-year-old date is rejected with a message that the person must be at least 18. The other two dates are accepted.</t>
  </si>
  <si>
    <t xml:space="preserve">TC-RID-007</t>
  </si>
  <si>
    <t xml:space="preserve">Email in an invalid format</t>
  </si>
  <si>
    <t xml:space="preserve">1. Fill in all other fields with valid data.
2. Enter each email in the test data, one per attempt.
3. Click Save.</t>
  </si>
  <si>
    <t xml:space="preserve">pedrojose.garciaexample.com (no @)
pedrojose.garcia@ (no domain)
@example.com (no name)
pedrojose.garcia@example (no .com)
pedrojose garcia@example.com (space)</t>
  </si>
  <si>
    <t xml:space="preserve">Each value is rejected with a message asking for a valid email address. No rider is created.</t>
  </si>
  <si>
    <t xml:space="preserve">TC-RID-008</t>
  </si>
  <si>
    <t xml:space="preserve">Email already used by an account of another role</t>
  </si>
  <si>
    <t xml:space="preserve">The Approved logistics account operations@bilishatid.example.com is logged in and the Add Rider form is open. The buyer account juanmiguel.delacruz@example.com already exists.</t>
  </si>
  <si>
    <t xml:space="preserve">1. Fill in all other fields with valid data.
2. Enter the existing email.
3. Click Save.</t>
  </si>
  <si>
    <t xml:space="preserve">Email: juanmiguel.delacruz@example.com</t>
  </si>
  <si>
    <t xml:space="preserve">Saving is blocked. A message says the email is already in use. No rider is created.</t>
  </si>
  <si>
    <t xml:space="preserve">TC-RID-009</t>
  </si>
  <si>
    <t xml:space="preserve">Mobile number in an invalid format</t>
  </si>
  <si>
    <t xml:space="preserve">1. Fill in all other fields with valid data.
2. Enter each mobile number in the test data, one per attempt.
3. Click Save.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</si>
  <si>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</si>
  <si>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</si>
  <si>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TC-RID-010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</si>
  <si>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</si>
  <si>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</si>
  <si>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</si>
  <si>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TC-RID-011</t>
  </si>
  <si>
    <t xml:space="preserve">Mobile number that is already registered</t>
  </si>
  <si>
    <t xml:space="preserve">The Approved logistics account operations@bilishatid.example.com is logged in and the Add Rider form is open. An account already exists with mobile number 09171234567.</t>
  </si>
  <si>
    <t xml:space="preserve">1. Fill in all other fields with valid data.
2. Enter the existing mobile number.
3. Click Save.</t>
  </si>
  <si>
    <t xml:space="preserve">Mobile: 09171234567</t>
  </si>
  <si>
    <t xml:space="preserve">Saving is blocked. A message says the mobile number is already in use.</t>
  </si>
  <si>
    <t xml:space="preserve">TC-RID-012</t>
  </si>
  <si>
    <t xml:space="preserve">License and Vehicle</t>
  </si>
  <si>
    <t xml:space="preserve">Driver's license number in an invalid format</t>
  </si>
  <si>
    <t xml:space="preserve">1. Fill in all other fields with valid data.
2. Enter each license number in the test data, one per attempt.
3. Click Save.</t>
  </si>
  <si>
    <t xml:space="preserve">N01-23-45678 (one digit short)
N01-23-4567890 (one digit extra)
101-23-456789 (no letter)
N0123456789X (letter at the end)</t>
  </si>
  <si>
    <t xml:space="preserve">Each value is rejected with a message showing the format A00-00-000000.</t>
  </si>
  <si>
    <t xml:space="preserve">TC-RID-013</t>
  </si>
  <si>
    <t xml:space="preserve">Driver's license number already registered</t>
  </si>
  <si>
    <t xml:space="preserve">The Approved logistics account operations@bilishatid.example.com is logged in and the Add Rider form is open. The rider pedrojose.garcia@example.com already exists.</t>
  </si>
  <si>
    <t xml:space="preserve">1. Fill in all other fields with valid data.
2. Enter the existing license number.
3. Click Save.</t>
  </si>
  <si>
    <t xml:space="preserve">Driver's License No.: N01-23-456789</t>
  </si>
  <si>
    <t xml:space="preserve">Saving is blocked. A message says the license number is already registered.</t>
  </si>
  <si>
    <t xml:space="preserve">TC-RID-014</t>
  </si>
  <si>
    <t xml:space="preserve">License expiry date at the limit</t>
  </si>
  <si>
    <t xml:space="preserve">1. Fill in all other fields with valid data.
2. Enter each expiry date in the test data, one per attempt.
3. Click Save.</t>
  </si>
  <si>
    <t xml:space="preserve">Yesterday's date is rejected with a message that the license is expired. Today's and tomorrow's dates are accepted.</t>
  </si>
  <si>
    <t xml:space="preserve">TC-RID-015</t>
  </si>
  <si>
    <t xml:space="preserve">Plate number already registered</t>
  </si>
  <si>
    <t xml:space="preserve">1. Fill in all other fields with valid data.
2. Enter the existing plate number.
3. Click Save.</t>
  </si>
  <si>
    <t xml:space="preserve">Plate Number: 123ABC</t>
  </si>
  <si>
    <t xml:space="preserve">Saving is blocked. A message says the plate number is already registered.</t>
  </si>
  <si>
    <t xml:space="preserve">TC-RID-016</t>
  </si>
  <si>
    <t xml:space="preserve">Document Upload</t>
  </si>
  <si>
    <t xml:space="preserve">Upload documents in each accepted file type</t>
  </si>
  <si>
    <t xml:space="preserve">1. Fill in all other fields with valid data.
2. Upload the files in the test data.
3. Click Save.</t>
  </si>
  <si>
    <t xml:space="preserve">Driver's License: drivers_license.jpg (1.5 MB), then drivers_license.png (2.0 MB), then drivers_license.pdf (700 KB)
Vehicle OR/CR: or_cr.pdf (900 KB)</t>
  </si>
  <si>
    <t xml:space="preserve">Each file is accepted and its name or preview is shown. The rider is saved.</t>
  </si>
  <si>
    <t xml:space="preserve">TC-RID-017</t>
  </si>
  <si>
    <t xml:space="preserve">Upload a file type that is not accepted</t>
  </si>
  <si>
    <t xml:space="preserve">1. Fill in all other fields with valid data.
2. Try to upload each file in the test data to Driver's License, one per attempt.
3. Click Save.</t>
  </si>
  <si>
    <t xml:space="preserve">price_list.docx (320 KB)
store_banner.gif (480 KB)
installer.exe (2.1 MB)</t>
  </si>
  <si>
    <t xml:space="preserve">Each file is rejected with a message listing the accepted types (JPG, PNG, PDF). No rider is created.</t>
  </si>
  <si>
    <t xml:space="preserve">TC-RID-018</t>
  </si>
  <si>
    <t xml:space="preserve">File size at the limit</t>
  </si>
  <si>
    <t xml:space="preserve">1. Fill in all other fields with valid data.
2. Upload each file in the test data to Driver's License, one per attempt.
3. Click Save.</t>
  </si>
  <si>
    <t xml:space="preserve">size_4.9MB.jpg (accept)
size_5.0MB.jpg, exactly 5,120 KB (accept)
size_5.1MB.jpg (reject)</t>
  </si>
  <si>
    <t xml:space="preserve">The 4.9 MB and 5.0 MB files are accepted. The 5.1 MB file is rejected with a maximum-size message.</t>
  </si>
  <si>
    <t xml:space="preserve">TC-RID-019</t>
  </si>
  <si>
    <t xml:space="preserve">Click Save several times quickly</t>
  </si>
  <si>
    <t xml:space="preserve">1. Fill in all fields with the Account 2 data from the Test Data sheet.
2. Click Save three times in quick succession.</t>
  </si>
  <si>
    <t xml:space="preserve">Account 2 data (Test Data sheet, column G)</t>
  </si>
  <si>
    <t xml:space="preserve">Only one rider is created and only one activation email is sent.</t>
  </si>
  <si>
    <t xml:space="preserve">TC-RID-020</t>
  </si>
  <si>
    <t xml:space="preserve">Account Activation</t>
  </si>
  <si>
    <t xml:space="preserve">Rider activates the account with a valid password</t>
  </si>
  <si>
    <t xml:space="preserve">The rider pedrojose.garcia@example.com has status Pending Activation and the activation email has been read from the mail catcher.</t>
  </si>
  <si>
    <t xml:space="preserve">1. Open the activation link from the email within 24 hours.
2. Enter and confirm the password.
3. Click Activate.</t>
  </si>
  <si>
    <t xml:space="preserve">Password: Rider@2026
Confirm Password: Rider@2026</t>
  </si>
  <si>
    <t xml:space="preserve">The password is saved. The rider's status changes from Pending Activation to Active, and the login page opens with a success message.</t>
  </si>
  <si>
    <t xml:space="preserve">A5, A13</t>
  </si>
  <si>
    <t xml:space="preserve">TC-RID-021</t>
  </si>
  <si>
    <t xml:space="preserve">Set a password that breaks the password rule</t>
  </si>
  <si>
    <t xml:space="preserve">1. Open the activation link.
2. Enter each password in both fields, one per attempt.
3. Click Activate.</t>
  </si>
  <si>
    <t xml:space="preserve">7 characters: Ride@26
No uppercase: rider@2026
No lowercase: RIDER@2026
No number: Rider@abcd
No special character: Rider2026</t>
  </si>
  <si>
    <t xml:space="preserve">Each password is rejected with a message stating the password rule. The rider stays Pending Activation.</t>
  </si>
  <si>
    <t xml:space="preserve">TC-RID-022</t>
  </si>
  <si>
    <t xml:space="preserve">Confirm Password does not match</t>
  </si>
  <si>
    <t xml:space="preserve">1. Open the activation link.
2. Enter the test data in Password and Confirm Password.
3. Click Activate.</t>
  </si>
  <si>
    <t xml:space="preserve">Password: Rider@2026
Confirm Password: Rider@2027</t>
  </si>
  <si>
    <t xml:space="preserve">Activation is blocked. A message says the passwords do not match.</t>
  </si>
  <si>
    <t xml:space="preserve">TC-RID-023</t>
  </si>
  <si>
    <t xml:space="preserve">Open an expired activation link</t>
  </si>
  <si>
    <t xml:space="preserve">1. Wait until more than 24 hours have passed since the email was sent (or set the link's expiry time back in the test database).
2. Open the activation link.</t>
  </si>
  <si>
    <t xml:space="preserve">Activation link sent 24 hours and 1 minute ago</t>
  </si>
  <si>
    <t xml:space="preserve">A message says the link has expired. No password can be set and the rider stays Pending Activation.</t>
  </si>
  <si>
    <t xml:space="preserve">TC-RID-024</t>
  </si>
  <si>
    <t xml:space="preserve">Logistics resends the activation email</t>
  </si>
  <si>
    <t xml:space="preserve">The rider pedrojose.garcia@example.com has status Pending Activation. The logistics account operations@bilishatid.example.com is logged in.</t>
  </si>
  <si>
    <t xml:space="preserve">1. Open the rider list.
2. Click Resend Activation for Pedro Jose Garcia.
3. Open the first link.
4. Open the second link.</t>
  </si>
  <si>
    <t xml:space="preserve">First activation link, then the link from the second email</t>
  </si>
  <si>
    <t xml:space="preserve">A new activation email is sent. The first link no longer works. The second link opens the set-password page.</t>
  </si>
  <si>
    <t xml:space="preserve">TC-RID-025</t>
  </si>
  <si>
    <t xml:space="preserve">Reuse the activation link after activating</t>
  </si>
  <si>
    <t xml:space="preserve">The rider pedrojose.garcia@example.com is already Active.</t>
  </si>
  <si>
    <t xml:space="preserve">1. Open the activation link that was already used.</t>
  </si>
  <si>
    <t xml:space="preserve">Activation link from the email that was used to activate</t>
  </si>
  <si>
    <t xml:space="preserve">A message says the link is invalid or already used. The password cannot be changed through this link.</t>
  </si>
  <si>
    <t xml:space="preserve">TC-RID-026</t>
  </si>
  <si>
    <t xml:space="preserve">Rider logs in before activating</t>
  </si>
  <si>
    <t xml:space="preserve">The rider pedrojose.garcia@example.com has status Pending Activation.</t>
  </si>
  <si>
    <t xml:space="preserve">1. Open the login page.
2. Enter the email and password.
3. Click Log In.</t>
  </si>
  <si>
    <t xml:space="preserve">Email: pedrojose.garcia@example.com
Password: Rider@2026</t>
  </si>
  <si>
    <t xml:space="preserve">Login is denied. The rider is not given access to any page.</t>
  </si>
  <si>
    <t xml:space="preserve">TC-RID-027</t>
  </si>
  <si>
    <t xml:space="preserve">Access Control</t>
  </si>
  <si>
    <t xml:space="preserve">Rider logs in after activating</t>
  </si>
  <si>
    <t xml:space="preserve">The rider pedrojose.garcia@example.com is Active.</t>
  </si>
  <si>
    <t xml:space="preserve">Login succeeds. The rider dashboard opens and shows Pedro Jose Garcia and Bilis Hatid Express Inc.</t>
  </si>
  <si>
    <t xml:space="preserve">TC-RID-028</t>
  </si>
  <si>
    <t xml:space="preserve">Rider is visible only to the company that created it</t>
  </si>
  <si>
    <t xml:space="preserve">Bilis Hatid Express Inc. created the rider Pedro Jose Garcia. Agila Cargo Movers Corp. is also an Approved logistics account.</t>
  </si>
  <si>
    <t xml:space="preserve">1. Log in as the first company and open the rider list.
2. Log out.
3. Log in as the second company and open the rider list.</t>
  </si>
  <si>
    <t xml:space="preserve">First: operations@bilishatid.example.com / Hatid@2026
Second: admin@agilacargo.example.com / Agila#Cargo26</t>
  </si>
  <si>
    <t xml:space="preserve">Pedro Jose Garcia appears in the rider list of Bilis Hatid Express Inc. and does not appear in the rider list of Agila Cargo Movers Corp.</t>
  </si>
  <si>
    <t xml:space="preserve">TC-RID-029</t>
  </si>
  <si>
    <t xml:space="preserve">No public rider registration</t>
  </si>
  <si>
    <t xml:space="preserve">No user is logged in.</t>
  </si>
  <si>
    <t xml:space="preserve">1. Open the public registration page and check the role choices.
2. Paste the address of the Add Rider form into the browser.</t>
  </si>
  <si>
    <t xml:space="preserve">Add Rider form address (copy it while logged in as logistics)</t>
  </si>
  <si>
    <t xml:space="preserve">Rider is not offered as a self-registration role. The Add Rider address redirects to the login page.</t>
  </si>
  <si>
    <t xml:space="preserve">TC-RID-030</t>
  </si>
  <si>
    <t xml:space="preserve">Buyer or seller opens the Add Rider form</t>
  </si>
  <si>
    <t xml:space="preserve">The buyer account juanmiguel.delacruz@example.com is logged in.</t>
  </si>
  <si>
    <t xml:space="preserve">1. Paste the address of the Add Rider form into the browser.
2. Repeat while logged in as the seller mariaclara.santos@example.com.</t>
  </si>
  <si>
    <t xml:space="preserve">Add Rider form address</t>
  </si>
  <si>
    <t xml:space="preserve">Access is denied each time (error 403 or redirect). No rider can be created.</t>
  </si>
  <si>
    <t xml:space="preserve">TC-RID-031</t>
  </si>
  <si>
    <t xml:space="preserve">Pending logistics account tries to add a rider</t>
  </si>
  <si>
    <t xml:space="preserve">A logistics account with status Pending Approval is logged in (register admin@agilacargo.example.com and verify it, but do not approve it yet).</t>
  </si>
  <si>
    <t xml:space="preserve">1. Look for the Add Rider option.
2. Paste the address of the Add Rider form into the browser.</t>
  </si>
  <si>
    <t xml:space="preserve">The Add Rider option is not available. The address is denied or shows the under-review notice. No rider can be created.</t>
  </si>
  <si>
    <t xml:space="preserve">A12, A13</t>
  </si>
  <si>
    <t xml:space="preserve">TC-RID-032</t>
  </si>
  <si>
    <t xml:space="preserve">Open another role's pages</t>
  </si>
  <si>
    <t xml:space="preserve">The Active rider account pedrojose.garcia@example.com is logged in.</t>
  </si>
  <si>
    <t xml:space="preserve">1. Paste the address of each dashboard in the test data into the browser, one at a time.</t>
  </si>
  <si>
    <t xml:space="preserve">Logistics dashboard
Seller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</si>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</sst>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inlineStr">
        <is>
          <t xml:space="preserve">Loved-IT multi-vendor marketplace (loved-it.shop): React web app and Laravel API</t>
        </is>
      </c>
    </row>
    <row r="6" customFormat="false" ht="15" hidden="false" customHeight="false" outlineLevel="0" collapsed="false">
      <c r="A6" s="5" t="s">
        <v>4</v>
      </c>
      <c r="B6" s="6" t="inlineStr">
        <is>
          <t xml:space="preserve">Branch king/courier-companies, commit 335f7c5 (17 Oct 2026)</t>
        </is>
      </c>
    </row>
    <row r="7" customFormat="false" ht="23.85" hidden="false" customHeight="false" outlineLevel="0" collapsed="false">
      <c r="A7" s="5" t="s">
        <v>5</v>
      </c>
      <c r="B7" s="6" t="inlineStr">
        <is>
          <t xml:space="preserve">Microsoft Edge (Chromium) 1366×900 on Windows 11, driven by Puppeteer; an isolated copy of the system (own database, file storage and mail log) on 127.0.0.1, with the same PHP settings as the live server</t>
        </is>
      </c>
    </row>
    <row r="8" customFormat="false" ht="15" hidden="false" customHeight="false" outlineLevel="0" collapsed="false">
      <c r="A8" s="5" t="s">
        <v>6</v>
      </c>
      <c r="B8" s="6" t="inlineStr">
        <is>
          <t xml:space="preserve">Automated black-box run by Claude Code (AI assistant) for the Basta Corp. team</t>
        </is>
      </c>
    </row>
    <row r="9" customFormat="false" ht="15" hidden="false" customHeight="false" outlineLevel="0" collapsed="false">
      <c r="A9" s="5" t="s">
        <v>7</v>
      </c>
      <c r="B9" s="6" t="inlineStr">
        <is>
          <t xml:space="preserve">10/17/2026 – 10/18/2026</t>
        </is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e">
        <f aca="false">COUNTA(#REF!)</f>
        <v>#REF!</v>
      </c>
      <c r="C13" s="9" t="e">
        <f aca="false">COUNTIF(#REF!,"Pass")</f>
        <v>#REF!</v>
      </c>
      <c r="D13" s="9" t="e">
        <f aca="false">COUNTIF(#REF!,"Fail")</f>
        <v>#REF!</v>
      </c>
      <c r="E13" s="9" t="e">
        <f aca="false">COUNTIF(#REF!,"Blocked")</f>
        <v>#REF!</v>
      </c>
      <c r="F13" s="9" t="e">
        <f aca="false">COUNTIF(#REF!,"Not Run")</f>
        <v>#REF!</v>
      </c>
      <c r="G13" s="10" t="e">
        <f aca="false">IF(B13=0,0,C13/B13)</f>
        <v>#REF!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n">
        <f aca="false">COUNTA(Rider!$A$2:$A$200)</f>
        <v>32</v>
      </c>
      <c r="C16" s="9" t="n">
        <f aca="false">COUNTIF(Rider!$L$2:$L$200,"Pass")</f>
        <v>0</v>
      </c>
      <c r="D16" s="9" t="n">
        <f aca="false">COUNTIF(Rider!$L$2:$L$200,"Fail")</f>
        <v>0</v>
      </c>
      <c r="E16" s="9" t="n">
        <f aca="false">COUNTIF(Rider!$L$2:$L$200,"Blocked")</f>
        <v>0</v>
      </c>
      <c r="F16" s="9" t="n">
        <f aca="false">COUNTIF(Rider!$L$2:$L$200,"Not Run")</f>
        <v>32</v>
      </c>
      <c r="G16" s="10" t="n">
        <f aca="false">IF(B16=0,0,C16/B16)</f>
        <v>0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 t="inlineStr">
        <is>
          <t xml:space="preserve">Buyer: first, middle (optional) and last name, email, phone (+63 box), password and confirm password; then profile photo, birthday, sex, address (Province, City/Municipality, Barangay, optional street) and a government ID photo. No Terms and Privacy checkbox. Sellers, courier companies and riders first create this account, then apply with their own form (shop/company details and documents).</t>
        </is>
      </c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 t="inlineStr">
        <is>
          <t xml:space="preserve">Required, up to 50 characters. No minimum length and no character check: digits and symbols are accepted; ñ, hyphen and apostrophe work.</t>
        </is>
      </c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 t="inlineStr">
        <is>
          <t xml:space="preserve">Checked by the browser and by the server, including a DNS check that the domain accepts mail (example.com is rejected because it has a null MX). Unique across all roles, not case-sensitive; spaces around it are removed. Max 100 characters.</t>
        </is>
      </c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 t="inlineStr">
        <is>
          <t xml:space="preserve">Typed after a fixed country-code dropdown (+63 by default). The box keeps digits only and at most 10 of them, with no message: 09XXXXXXXXX loses its last digit and +63 typed in the box is not recognised. Saved as +63 plus the digits; unique; no check that it is a mobile (09) number.</t>
        </is>
      </c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 t="inlineStr">
        <is>
          <t xml:space="preserve">At least 8 characters with upper and lower case, a number and a symbol, and not found in known password leaks. Confirm Password must match. No show/hide icon.</t>
        </is>
      </c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 t="inlineStr">
        <is>
          <t xml:space="preserve">Buyers must be at least 18 on the day they register; the birthday picker does not allow future dates.</t>
        </is>
      </c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 t="inlineStr">
        <is>
          <t xml:space="preserve">Buyer and seller address: Province → City/Municipality → Barangay (PSGC lists; NCR is listed as "Metro Manila (NCR)"; no Region dropdown). The courier company form starts at Region. No postal code anywhere.</t>
        </is>
      </c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 t="inlineStr">
        <is>
          <t xml:space="preserve">No TIN is collected.</t>
        </is>
      </c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 t="inlineStr">
        <is>
          <t xml:space="preserve">No email OTP. A welcome email is sent on registration; buyers are then verified by an admin who checks the government ID (pending → approved or rejected), and applicants get an email when an application is received and decided.</t>
        </is>
      </c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 t="inlineStr">
        <is>
          <t xml:space="preserve">JPG, PNG or PDF (profile photo also WebP), up to 5 MB in the app. However, the server's PHP settings allow only 2 MB per file and 8 MB per form, so files between 2 MB and 5 MB fail with "The … failed to upload."</t>
        </is>
      </c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 t="inlineStr">
        <is>
          <t xml:space="preserve">No seller type. Every seller uploads a government ID (back too for some ID types), a selfie holding the ID, an LGU business permit and a DTI or SEC registration; an FDA LTO is optional.</t>
        </is>
      </c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 t="inlineStr">
        <is>
          <t xml:space="preserve">Buyer: pending (ID review) → approved or rejected; a pending buyer can already sign in and shop. Seller and courier company: apply from a signed-in account → pending → approved or rejected; a rejected applicant can apply again with a new full application. Applicants can sign in while pending; their portal stays closed.</t>
        </is>
      </c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 t="inlineStr">
        <is>
          <t xml:space="preserve">Riders are not created by the logistics company. A rider creates a Loved-IT account, applies at /register/rider choosing an approved hub, and that hub approves (Pending → Active) or disapproves. No activation email or link; the rider sets the password at account creation.</t>
        </is>
      </c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 t="inlineStr">
        <is>
          <t xml:space="preserve">Unique: shop name (up to 100 characters, no minimum), courier company name and its 2–6 character short code. Not unique: plate number. No SEC registration number or driver's license number fields.</t>
        </is>
      </c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 t="inlineStr">
        <is>
          <t xml:space="preserve">No license number or expiry date; the rider uploads a photo or scan of the driver's license and the OR/CR, which the hub checks.</t>
        </is>
      </c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 t="inlineStr">
        <is>
          <t xml:space="preserve">Pages of another role redirect (to the home page, the login page or the role's application page); the API answers 403.</t>
        </is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135.8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 t="inlineStr">
        <is>
          <t xml:space="preserve">Account step (Pedro Jose Garcia, born 03/22/1995): accepted. Rider application (hub Bilis Hatid Pasig Hub, Motorcycle, plate 123ABC, or_cr.pdf, drivers_license.jpg): accepted with no errors. The rider appears in the rider list of Bilis Hatid Express Inc. with status "PENDING" (waiting for the hub). Emails to the rider: Welcome to Loved-IT!; We received your Loved-IT rider application. No activation email was sent.</t>
        </is>
      </c>
      <c r="L2" s="23" t="inlineStr">
        <is>
          <t xml:space="preserve">Fail</t>
        </is>
      </c>
      <c r="M2" s="22" t="inlineStr">
        <is>
          <t xml:space="preserve">Design difference (A13): Loved-IT has no Add Rider form for the logistics company: the rider applies at /register/rider (hub, vehicle type, plate number, OR/CR, driver's license) from a signed-in account and the chosen hub approves; this case was run on that form. There are no Driver's License No. or License Expiry fields. The test-data domain example.com is rejected by the system's email check, so pedrojose.garcia@gmail.com was used. Screenshot: TC-RID-001.jpg Recovered evidence from the prior recorded browser run; reviewed in this continuation, not rerun as a fresh account test.</t>
        </is>
      </c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 t="inlineStr">
        <is>
          <t xml:space="preserve">Sending the rider application with nothing filled in showed every required-field message at once: Pick the hub you want to ride for. / Enter your plate number. / * / Upload your OR/CR. / * / Upload your driver's license. / Confirm that your details and documents are genuine.. No rider application was created and no email was sent.</t>
        </is>
      </c>
      <c r="L3" s="23" t="inlineStr">
        <is>
          <t xml:space="preserve">Pass</t>
        </is>
      </c>
      <c r="M3" s="22" t="inlineStr">
        <is>
          <t xml:space="preserve">Loved-IT has no Add Rider form for the logistics company: the rider applies at /register/rider (hub, vehicle type, plate number, OR/CR, driver's license) from a signed-in account and the chosen hub approves; this case was run on that form. The account step behaves as in TC-BUY-002. Screenshot: TC-RID-002.jpg Recovered evidence from the prior recorded browser run; reviewed in this continuation, not rerun as a fresh account test.</t>
        </is>
      </c>
    </row>
    <row r="4" customFormat="false" ht="135.8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 t="inlineStr">
        <is>
          <t xml:space="preserve">Hub: blocked – A few things still need your attention. They are marked below. / Pick the hub you want to ride for. (plate kept: yes); Vehicle Type: NOT blocked (plate kept: no). First Name, Last Name, Date of Birth, Email and Mobile are on the account step and each block with a message on that field only, as in TC-BUY-003.</t>
        </is>
      </c>
      <c r="L4" s="23" t="inlineStr">
        <is>
          <t xml:space="preserve">Fail</t>
        </is>
      </c>
      <c r="M4" s="22" t="inlineStr">
        <is>
          <t xml:space="preserve">Loved-IT has no Add Rider form for the logistics company: the rider applies at /register/rider (hub, vehicle type, plate number, OR/CR, driver's license) from a signed-in account and the chosen hub approves; this case was run on that form. Driver's License No. and License Expiry Date are not in the system. Screenshot: TC-RID-003.jpg Recovered evidence from the prior recorded browser run; reviewed in this continuation, not rerun as a fresh account test.</t>
        </is>
      </c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 t="inlineStr">
        <is>
          <t xml:space="preserve">Saving was not blocked: the account was saved with first name "Pedro Jose99" and last name "Dela Cruz@#". No message about letters only.</t>
        </is>
      </c>
      <c r="L5" s="23" t="inlineStr">
        <is>
          <t xml:space="preserve">Fail</t>
        </is>
      </c>
      <c r="M5" s="22" t="inlineStr">
        <is>
          <t xml:space="preserve">Defect: name fields accept digits and symbols. 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Screenshot: TC-RID-004.jpg Recovered evidence from the prior recorded browser run; reviewed in this continuation, not rerun as a fresh account test.</t>
        </is>
      </c>
    </row>
    <row r="6" customFormat="false" ht="68.6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45</v>
      </c>
      <c r="E6" s="20" t="s">
        <v>401</v>
      </c>
      <c r="F6" s="17" t="s">
        <v>381</v>
      </c>
      <c r="G6" s="17" t="s">
        <v>407</v>
      </c>
      <c r="H6" s="17" t="s">
        <v>408</v>
      </c>
      <c r="I6" s="17" t="s">
        <v>409</v>
      </c>
      <c r="J6" s="20" t="s">
        <v>325</v>
      </c>
      <c r="K6" s="22" t="inlineStr">
        <is>
          <t xml:space="preserve">1 character: accepted; 2 characters: accepted; 50 characters: accepted; 51 characters: rejected ("The first name field must not be greater than 50 characters.").</t>
        </is>
      </c>
      <c r="L6" s="23" t="inlineStr">
        <is>
          <t xml:space="preserve">Fail</t>
        </is>
      </c>
      <c r="M6" s="22" t="inlineStr">
        <is>
          <t xml:space="preserve">Defect: a 1-character name is accepted. 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Screenshot: TC-RID-005.jpg Recovered evidence from the prior recorded browser run; reviewed in this continuation, not rerun as a fresh account test.</t>
        </is>
      </c>
    </row>
    <row r="7" customFormat="false" ht="68.65" hidden="false" customHeight="false" outlineLevel="0" collapsed="false">
      <c r="A7" s="21" t="s">
        <v>410</v>
      </c>
      <c r="B7" s="17" t="s">
        <v>82</v>
      </c>
      <c r="C7" s="17" t="s">
        <v>411</v>
      </c>
      <c r="D7" s="17" t="s">
        <v>45</v>
      </c>
      <c r="E7" s="20" t="s">
        <v>380</v>
      </c>
      <c r="F7" s="17" t="s">
        <v>381</v>
      </c>
      <c r="G7" s="17" t="s">
        <v>412</v>
      </c>
      <c r="H7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7" s="17" t="s">
        <v>413</v>
      </c>
      <c r="J7" s="20" t="s">
        <v>337</v>
      </c>
      <c r="K7" s="22" t="inlineStr">
        <is>
          <t xml:space="preserve">Tested on 10/18/2026: born 10/19/2008 (17 years old): rejected ("You must be at least 18 years old."); born 10/18/2008 (turns 18 today): rejected ("You must be at least 18 years old to register."); born 10/17/2008 (18 years and 1 day): accepted.</t>
        </is>
      </c>
      <c r="L7" s="23" t="inlineStr">
        <is>
          <t xml:space="preserve">Fail</t>
        </is>
      </c>
      <c r="M7" s="22" t="inlineStr">
        <is>
          <t xml:space="preserve">Dates are relative to the test day, as the workbook says. 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Screenshot: TC-RID-006.jpg Recovered evidence from the prior recorded browser run; reviewed in this continuation, not rerun as a fresh account test.</t>
        </is>
      </c>
    </row>
    <row r="8" customFormat="false" ht="57.45" hidden="false" customHeight="false" outlineLevel="0" collapsed="false">
      <c r="A8" s="21" t="s">
        <v>414</v>
      </c>
      <c r="B8" s="17" t="s">
        <v>74</v>
      </c>
      <c r="C8" s="17" t="s">
        <v>415</v>
      </c>
      <c r="D8" s="17" t="s">
        <v>43</v>
      </c>
      <c r="E8" s="20" t="s">
        <v>380</v>
      </c>
      <c r="F8" s="17" t="s">
        <v>389</v>
      </c>
      <c r="G8" s="17" t="s">
        <v>416</v>
      </c>
      <c r="H8" s="17" t="s">
        <v>417</v>
      </c>
      <c r="I8" s="17" t="s">
        <v>418</v>
      </c>
      <c r="J8" s="20" t="s">
        <v>328</v>
      </c>
      <c r="K8" s="22" t="inlineStr">
        <is>
          <t xml:space="preserve">"pedrojose.garciagmail.com": rejected (Please include an '@' in the email address. 'pedrojose.garciagmail.com' is missing an '@'.); "pedrojose.garcia@": rejected (Please enter a part following '@'. 'pedrojose.garcia@' is incomplete.); "@gmail.com": rejected (Please enter a part followed by '@'. '@gmail.com' is incomplete.); "pedrojose.garcia@example": rejected (The email field must be a valid email address.); "pedrojose garcia@gmail.com": rejected (A part followed by '@' should not contain the symbol ' '.). No account was created.</t>
        </is>
      </c>
      <c r="L8" s="23" t="inlineStr">
        <is>
          <t xml:space="preserve">Pass</t>
        </is>
      </c>
      <c r="M8" s="22" t="inlineStr">
        <is>
          <t xml:space="preserve">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@gmail.com used in place of @example.com. Screenshot: TC-RID-007.jpg Recovered evidence from the prior recorded browser run; reviewed in this continuation, not rerun as a fresh account test.</t>
        </is>
      </c>
    </row>
    <row r="9" customFormat="false" ht="68.65" hidden="false" customHeight="false" outlineLevel="0" collapsed="false">
      <c r="A9" s="21" t="s">
        <v>419</v>
      </c>
      <c r="B9" s="17" t="s">
        <v>74</v>
      </c>
      <c r="C9" s="17" t="s">
        <v>420</v>
      </c>
      <c r="D9" s="17" t="s">
        <v>43</v>
      </c>
      <c r="E9" s="20" t="s">
        <v>380</v>
      </c>
      <c r="F9" s="17" t="s">
        <v>421</v>
      </c>
      <c r="G9" s="17" t="s">
        <v>422</v>
      </c>
      <c r="H9" s="17" t="s">
        <v>423</v>
      </c>
      <c r="I9" s="17" t="s">
        <v>424</v>
      </c>
      <c r="J9" s="20" t="s">
        <v>328</v>
      </c>
      <c r="K9" s="22" t="inlineStr">
        <is>
          <t xml:space="preserve">Using the buyer's email juanmiguel.delacruz@gmail.com was blocked: "The email has already been taken.".</t>
        </is>
      </c>
      <c r="L9" s="23" t="inlineStr">
        <is>
          <t xml:space="preserve">Pass</t>
        </is>
      </c>
      <c r="M9" s="22" t="inlineStr">
        <is>
          <t xml:space="preserve">One email is one account across all roles. 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Screenshot: TC-RID-008.jpg Recovered evidence from the prior recorded browser run; reviewed in this continuation, not rerun as a fresh account test.</t>
        </is>
      </c>
    </row>
    <row r="10" customFormat="false" ht="46.25" hidden="false" customHeight="false" outlineLevel="0" collapsed="false">
      <c r="A10" s="21" t="s">
        <v>425</v>
      </c>
      <c r="B10" s="17" t="s">
        <v>78</v>
      </c>
      <c r="C10" s="17" t="s">
        <v>426</v>
      </c>
      <c r="D10" s="17" t="s">
        <v>43</v>
      </c>
      <c r="E10" s="20" t="s">
        <v>380</v>
      </c>
      <c r="F10" s="17" t="s">
        <v>389</v>
      </c>
      <c r="G10" s="17" t="s">
        <v>427</v>
      </c>
      <c r="H10" s="17" t="s">
        <v>428</v>
      </c>
      <c r="I10" s="17" t="s">
        <v>429</v>
      </c>
      <c r="J10" s="20" t="s">
        <v>331</v>
      </c>
      <c r="K10" s="22" t="inlineStr">
        <is>
          <t xml:space="preserve">"0945ABC9876": accepted and saved as +6309459876; "0945-123-111": accepted and saved as +630945123111; "42345678901": accepted and saved as +634234567890; "02-8451-2398": accepted and saved as +630284512398.</t>
        </is>
      </c>
      <c r="L10" s="23" t="inlineStr">
        <is>
          <t xml:space="preserve">Fail</t>
        </is>
      </c>
      <c r="M10" s="22" t="inlineStr">
        <is>
          <t xml:space="preserve">Defect: letters and symbols are dropped silently and the digits saved after +63; landlines and numbers not starting with 9 are accepted. Values equivalent to the test data were used (the 0917... ones were already saved). 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Screenshot: TC-RID-009.jpg Recovered evidence from the prior recorded browser run; reviewed in this continuation, not rerun as a fresh account test.</t>
        </is>
      </c>
    </row>
    <row r="11" customFormat="false" ht="68.65" hidden="false" customHeight="false" outlineLevel="0" collapsed="false">
      <c r="A11" s="21" t="s">
        <v>430</v>
      </c>
      <c r="B11" s="17" t="s">
        <v>78</v>
      </c>
      <c r="C11" s="17" t="s">
        <v>431</v>
      </c>
      <c r="D11" s="17" t="s">
        <v>45</v>
      </c>
      <c r="E11" s="20" t="s">
        <v>380</v>
      </c>
      <c r="F11" s="17" t="s">
        <v>381</v>
      </c>
      <c r="G11" s="17" t="s">
        <v>427</v>
      </c>
      <c r="H11" s="17" t="s">
        <v>432</v>
      </c>
      <c r="I11" s="17" t="s">
        <v>433</v>
      </c>
      <c r="J11" s="20" t="s">
        <v>331</v>
      </c>
      <c r="K11" s="22" t="inlineStr">
        <is>
          <t xml:space="preserve">10 digits "0945123987": accepted and saved as +630945123987; 11 digits "09450000001": accepted and saved as +630945000000; 12 digits "094512398765": rejected ("The phone has already been taken.").</t>
        </is>
      </c>
      <c r="L11" s="23" t="inlineStr">
        <is>
          <t xml:space="preserve">Fail</t>
        </is>
      </c>
      <c r="M11" s="22" t="inlineStr">
        <is>
          <t xml:space="preserve">Defect: the phone box after the fixed +63 keeps only the first 10 digits and shows no length message; a rejection here is only because the first 10 digits match the number saved just before. 0945... values were used so earlier tests do not interfere. 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Screenshot: TC-RID-010.jpg Recovered evidence from the prior recorded browser run; reviewed in this continuation, not rerun as a fresh account test.</t>
        </is>
      </c>
    </row>
    <row r="12" customFormat="false" ht="57.45" hidden="false" customHeight="false" outlineLevel="0" collapsed="false">
      <c r="A12" s="21" t="s">
        <v>434</v>
      </c>
      <c r="B12" s="17" t="s">
        <v>78</v>
      </c>
      <c r="C12" s="17" t="s">
        <v>435</v>
      </c>
      <c r="D12" s="17" t="s">
        <v>43</v>
      </c>
      <c r="E12" s="20" t="s">
        <v>401</v>
      </c>
      <c r="F12" s="17" t="s">
        <v>436</v>
      </c>
      <c r="G12" s="17" t="s">
        <v>437</v>
      </c>
      <c r="H12" s="17" t="s">
        <v>438</v>
      </c>
      <c r="I12" s="17" t="s">
        <v>439</v>
      </c>
      <c r="J12" s="20" t="s">
        <v>331</v>
      </c>
      <c r="K12" s="22" t="inlineStr">
        <is>
          <t xml:space="preserve">Saving was blocked: "The phone has already been taken.".</t>
        </is>
      </c>
      <c r="L12" s="23" t="inlineStr">
        <is>
          <t xml:space="preserve">Pass</t>
        </is>
      </c>
      <c r="M12" s="22" t="inlineStr">
        <is>
          <t xml:space="preserve">09171234567 belongs to the buyer Juan Miguel; typed as 9171234567 after +63. Loved-IT has no Add Rider form for the logistics company: a rider creates a Loved-IT account at /register (name, birthday, email, mobile) and applies at /register/rider (hub, vehicle, plate, OR/CR, driver's license); this field is on the account step, so the case was run there with the rider test data. Screenshot: TC-RID-011.jpg Recovered evidence from the prior recorded browser run; reviewed in this continuation, not rerun as a fresh account test.</t>
        </is>
      </c>
    </row>
    <row r="13" customFormat="false" ht="46.25" hidden="false" customHeight="false" outlineLevel="0" collapsed="false">
      <c r="A13" s="21" t="s">
        <v>440</v>
      </c>
      <c r="B13" s="17" t="s">
        <v>441</v>
      </c>
      <c r="C13" s="17" t="s">
        <v>442</v>
      </c>
      <c r="D13" s="17" t="s">
        <v>43</v>
      </c>
      <c r="E13" s="20" t="s">
        <v>380</v>
      </c>
      <c r="F13" s="17" t="s">
        <v>389</v>
      </c>
      <c r="G13" s="17" t="s">
        <v>443</v>
      </c>
      <c r="H13" s="17" t="s">
        <v>444</v>
      </c>
      <c r="I13" s="17" t="s">
        <v>445</v>
      </c>
      <c r="J13" s="20" t="s">
        <v>364</v>
      </c>
      <c r="K13" s="22" t="inlineStr">
        <is>
          <t xml:space="preserve">Could not complete driver's license number in an invalid format: there is no license-number/expiry input; only a document upload is available. The specified number/date validation cannot be exercised.</t>
        </is>
      </c>
      <c r="L13" s="23" t="inlineStr">
        <is>
          <t xml:space="preserve">Blocked</t>
        </is>
      </c>
      <c r="M13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14" customFormat="false" ht="68.65" hidden="false" customHeight="false" outlineLevel="0" collapsed="false">
      <c r="A14" s="21" t="s">
        <v>446</v>
      </c>
      <c r="B14" s="17" t="s">
        <v>441</v>
      </c>
      <c r="C14" s="17" t="s">
        <v>447</v>
      </c>
      <c r="D14" s="17" t="s">
        <v>43</v>
      </c>
      <c r="E14" s="20" t="s">
        <v>380</v>
      </c>
      <c r="F14" s="17" t="s">
        <v>448</v>
      </c>
      <c r="G14" s="17" t="s">
        <v>449</v>
      </c>
      <c r="H14" s="17" t="s">
        <v>450</v>
      </c>
      <c r="I14" s="17" t="s">
        <v>451</v>
      </c>
      <c r="J14" s="20" t="s">
        <v>361</v>
      </c>
      <c r="K14" s="22" t="inlineStr">
        <is>
          <t xml:space="preserve">Could not complete driver's license number already registered: there is no license-number/expiry input; only a document upload is available. The specified number/date validation cannot be exercised.</t>
        </is>
      </c>
      <c r="L14" s="23" t="inlineStr">
        <is>
          <t xml:space="preserve">Blocked</t>
        </is>
      </c>
      <c r="M14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15" customFormat="false" ht="68.65" hidden="false" customHeight="false" outlineLevel="0" collapsed="false">
      <c r="A15" s="21" t="s">
        <v>452</v>
      </c>
      <c r="B15" s="17" t="s">
        <v>441</v>
      </c>
      <c r="C15" s="17" t="s">
        <v>453</v>
      </c>
      <c r="D15" s="17" t="s">
        <v>45</v>
      </c>
      <c r="E15" s="20" t="s">
        <v>380</v>
      </c>
      <c r="F15" s="17" t="s">
        <v>381</v>
      </c>
      <c r="G15" s="17" t="s">
        <v>454</v>
      </c>
      <c r="H15" s="17" t="str">
        <f aca="true">"Expiry "&amp;TEXT(TODAY()-1,"mm/dd/yyyy")&amp;" (yesterday, reject)"&amp;CHAR(10)&amp;"Expiry "&amp;TEXT(TODAY(),"mm/dd/yyyy")&amp;" (today, accept)"&amp;CHAR(10)&amp;"Expiry "&amp;TEXT(TODAY()+1,"mm/dd/yyyy")&amp;" (tomorrow, accept)"</f>
        <v>Expiry 10/15/2026 (yesterday, reject)
Expiry 10/16/2026 (today, accept)
Expiry 10/17/2026 (tomorrow, accept)</v>
      </c>
      <c r="I15" s="17" t="s">
        <v>455</v>
      </c>
      <c r="J15" s="20" t="s">
        <v>364</v>
      </c>
      <c r="K15" s="22" t="inlineStr">
        <is>
          <t xml:space="preserve">Could not complete license expiry date at the limit: there is no license-number/expiry input; only a document upload is available. The specified number/date validation cannot be exercised.</t>
        </is>
      </c>
      <c r="L15" s="23" t="inlineStr">
        <is>
          <t xml:space="preserve">Blocked</t>
        </is>
      </c>
      <c r="M15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16" customFormat="false" ht="68.65" hidden="false" customHeight="false" outlineLevel="0" collapsed="false">
      <c r="A16" s="21" t="s">
        <v>456</v>
      </c>
      <c r="B16" s="17" t="s">
        <v>441</v>
      </c>
      <c r="C16" s="17" t="s">
        <v>457</v>
      </c>
      <c r="D16" s="17" t="s">
        <v>43</v>
      </c>
      <c r="E16" s="20" t="s">
        <v>401</v>
      </c>
      <c r="F16" s="17" t="s">
        <v>448</v>
      </c>
      <c r="G16" s="17" t="s">
        <v>458</v>
      </c>
      <c r="H16" s="17" t="s">
        <v>459</v>
      </c>
      <c r="I16" s="17" t="s">
        <v>460</v>
      </c>
      <c r="J16" s="20" t="s">
        <v>361</v>
      </c>
      <c r="K16" s="22" t="inlineStr">
        <is>
          <t xml:space="preserve">A second rider application with plate number 123ABC (already used by Pedro Jose Garcia) was accepted with no message.</t>
        </is>
      </c>
      <c r="L16" s="23" t="inlineStr">
        <is>
          <t xml:space="preserve">Fail</t>
        </is>
      </c>
      <c r="M16" s="22" t="inlineStr">
        <is>
          <t xml:space="preserve">Defect: plate numbers are not checked for duplicates. Loved-IT has no Add Rider form for the logistics company: the rider applies at /register/rider (hub, vehicle type, plate number, OR/CR, driver's license) from a signed-in account and the chosen hub approves; this case was run on that form. Screenshot: TC-RID-015.jpg Recovered evidence from the prior recorded browser run; reviewed in this continuation, not rerun as a fresh account test.</t>
        </is>
      </c>
    </row>
    <row r="17" customFormat="false" ht="68.65" hidden="false" customHeight="false" outlineLevel="0" collapsed="false">
      <c r="A17" s="21" t="s">
        <v>461</v>
      </c>
      <c r="B17" s="17" t="s">
        <v>462</v>
      </c>
      <c r="C17" s="17" t="s">
        <v>463</v>
      </c>
      <c r="D17" s="17" t="s">
        <v>43</v>
      </c>
      <c r="E17" s="20" t="s">
        <v>380</v>
      </c>
      <c r="F17" s="17" t="s">
        <v>381</v>
      </c>
      <c r="G17" s="17" t="s">
        <v>464</v>
      </c>
      <c r="H17" s="17" t="s">
        <v>465</v>
      </c>
      <c r="I17" s="17" t="s">
        <v>466</v>
      </c>
      <c r="J17" s="20" t="s">
        <v>349</v>
      </c>
      <c r="K17" s="22" t="inlineStr">
        <is>
          <t xml:space="preserve">drivers_license.jpg: accepted (image preview); drivers_license.png: accepted (image preview); drivers_license.pdf: accepted (900 KB · PDF Document, 700 KB · PDF Document); or_cr.pdf: accepted. The rider application was saved.</t>
        </is>
      </c>
      <c r="L17" s="23" t="inlineStr">
        <is>
          <t xml:space="preserve">Pass</t>
        </is>
      </c>
      <c r="M17" s="22" t="inlineStr">
        <is>
          <t xml:space="preserve">Loved-IT has no Add Rider form for the logistics company: the rider applies at /register/rider (hub, vehicle type, plate number, OR/CR, driver's license) from a signed-in account and the chosen hub approves; this case was run on that form. Screenshot: TC-RID-016.jpg Recovered evidence from the prior recorded browser run; reviewed in this continuation, not rerun as a fresh account test.</t>
        </is>
      </c>
    </row>
    <row r="18" customFormat="false" ht="46.25" hidden="false" customHeight="false" outlineLevel="0" collapsed="false">
      <c r="A18" s="21" t="s">
        <v>467</v>
      </c>
      <c r="B18" s="17" t="s">
        <v>462</v>
      </c>
      <c r="C18" s="17" t="s">
        <v>468</v>
      </c>
      <c r="D18" s="17" t="s">
        <v>43</v>
      </c>
      <c r="E18" s="20" t="s">
        <v>380</v>
      </c>
      <c r="F18" s="17" t="s">
        <v>389</v>
      </c>
      <c r="G18" s="17" t="s">
        <v>469</v>
      </c>
      <c r="H18" s="17" t="s">
        <v>470</v>
      </c>
      <c r="I18" s="17" t="s">
        <v>471</v>
      </c>
      <c r="J18" s="20" t="s">
        <v>349</v>
      </c>
      <c r="K18" s="22" t="inlineStr">
        <is>
          <t xml:space="preserve">price_list.docx: rejected ("Only JPG, PNG, and PDF files are allowed."); store_banner.gif: rejected ("Only JPG, PNG, and PDF files are allowed."); installer.exe: rejected ("Only JPG, PNG, and PDF files are allowed."). Sending was then blocked ("Upload your driver's license."); no rider was created.</t>
        </is>
      </c>
      <c r="L18" s="23" t="inlineStr">
        <is>
          <t xml:space="preserve">Pass</t>
        </is>
      </c>
      <c r="M18" s="22" t="inlineStr">
        <is>
          <t xml:space="preserve">Each file was attached directly to the Driver's license upload (the picker only lists accepted types). Loved-IT has no Add Rider form for the logistics company: the rider applies at /register/rider (hub, vehicle type, plate number, OR/CR, driver's license) from a signed-in account and the chosen hub approves; this case was run on that form. Screenshot: TC-RID-017.jpg Recovered evidence from the prior recorded browser run; reviewed in this continuation, not rerun as a fresh account test.</t>
        </is>
      </c>
    </row>
    <row r="19" customFormat="false" ht="68.65" hidden="false" customHeight="false" outlineLevel="0" collapsed="false">
      <c r="A19" s="21" t="s">
        <v>472</v>
      </c>
      <c r="B19" s="17" t="s">
        <v>462</v>
      </c>
      <c r="C19" s="17" t="s">
        <v>473</v>
      </c>
      <c r="D19" s="17" t="s">
        <v>45</v>
      </c>
      <c r="E19" s="20" t="s">
        <v>380</v>
      </c>
      <c r="F19" s="17" t="s">
        <v>381</v>
      </c>
      <c r="G19" s="17" t="s">
        <v>474</v>
      </c>
      <c r="H19" s="17" t="s">
        <v>475</v>
      </c>
      <c r="I19" s="17" t="s">
        <v>476</v>
      </c>
      <c r="J19" s="20" t="s">
        <v>349</v>
      </c>
      <c r="K19" s="22" t="inlineStr">
        <is>
          <t xml:space="preserve">size_4.9MB.jpg: accepted (application saved); size_5.0MB.jpg: accepted (application saved); size_5.1MB.jpg: rejected ("File size exceeds the 5MB limit.").</t>
        </is>
      </c>
      <c r="L19" s="23" t="inlineStr">
        <is>
          <t xml:space="preserve">Pass</t>
        </is>
      </c>
      <c r="M19" s="22" t="inlineStr">
        <is>
          <t xml:space="preserve">Uploaded to the Driver's license field; each accepted file used a separate account. Screenshot: TC-RID-018.jpg Recovered evidence from the prior recorded browser run; reviewed in this continuation, not rerun as a fresh account test.</t>
        </is>
      </c>
    </row>
    <row r="20" customFormat="false" ht="68.65" hidden="false" customHeight="false" outlineLevel="0" collapsed="false">
      <c r="A20" s="21" t="s">
        <v>477</v>
      </c>
      <c r="B20" s="17" t="s">
        <v>378</v>
      </c>
      <c r="C20" s="17" t="s">
        <v>478</v>
      </c>
      <c r="D20" s="17" t="s">
        <v>53</v>
      </c>
      <c r="E20" s="20" t="s">
        <v>401</v>
      </c>
      <c r="F20" s="17" t="s">
        <v>381</v>
      </c>
      <c r="G20" s="17" t="s">
        <v>479</v>
      </c>
      <c r="H20" s="17" t="s">
        <v>480</v>
      </c>
      <c r="I20" s="17" t="s">
        <v>481</v>
      </c>
      <c r="J20" s="20" t="s">
        <v>328</v>
      </c>
      <c r="K20" s="22" t="inlineStr">
        <is>
          <t xml:space="preserve">Send rider application was clicked three times quickly (real mouse clicks 80 ms apart). Rider applications created for Mark Anthony Bautista: 1. No error appeared; one confirmation page was shown.</t>
        </is>
      </c>
      <c r="L20" s="23" t="inlineStr">
        <is>
          <t xml:space="preserve">Fail</t>
        </is>
      </c>
      <c r="M20" s="22" t="inlineStr">
        <is>
          <t xml:space="preserve">Account 2 data (Mark Anthony Bautista, Van, NBC1234). The system sends no activation email (see TC-RID-001). Loved-IT has no Add Rider form for the logistics company: the rider applies at /register/rider (hub, vehicle type, plate number, OR/CR, driver's license) from a signed-in account and the chosen hub approves; this case was run on that form. Screenshot: TC-RID-019.jpg Final review: duplicate creation was prevented, but the case also requires one OTP/activation email; that required mechanism is absent, so the complete expected result fails. Recovered evidence from the prior recorded browser run; reviewed in this continuation, not rerun as a fresh account test.</t>
        </is>
      </c>
    </row>
    <row r="21" customFormat="false" ht="57.45" hidden="false" customHeight="false" outlineLevel="0" collapsed="false">
      <c r="A21" s="21" t="s">
        <v>482</v>
      </c>
      <c r="B21" s="17" t="s">
        <v>483</v>
      </c>
      <c r="C21" s="17" t="s">
        <v>484</v>
      </c>
      <c r="D21" s="17" t="s">
        <v>49</v>
      </c>
      <c r="E21" s="20" t="s">
        <v>380</v>
      </c>
      <c r="F21" s="17" t="s">
        <v>485</v>
      </c>
      <c r="G21" s="17" t="s">
        <v>486</v>
      </c>
      <c r="H21" s="17" t="s">
        <v>487</v>
      </c>
      <c r="I21" s="17" t="s">
        <v>488</v>
      </c>
      <c r="J21" s="20" t="s">
        <v>489</v>
      </c>
      <c r="K21" s="22" t="inlineStr">
        <is>
          <t xml:space="preserve">Could not complete rider activates the account with a valid password: no activation email/link or Pending Activation state is produced. The required activation page/token cannot be opened for this case.</t>
        </is>
      </c>
      <c r="L21" s="23" t="inlineStr">
        <is>
          <t xml:space="preserve">Blocked</t>
        </is>
      </c>
      <c r="M21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22" customFormat="false" ht="57.45" hidden="false" customHeight="false" outlineLevel="0" collapsed="false">
      <c r="A22" s="21" t="s">
        <v>490</v>
      </c>
      <c r="B22" s="17" t="s">
        <v>483</v>
      </c>
      <c r="C22" s="17" t="s">
        <v>491</v>
      </c>
      <c r="D22" s="17" t="s">
        <v>47</v>
      </c>
      <c r="E22" s="20" t="s">
        <v>380</v>
      </c>
      <c r="F22" s="17" t="s">
        <v>485</v>
      </c>
      <c r="G22" s="17" t="s">
        <v>492</v>
      </c>
      <c r="H22" s="17" t="s">
        <v>493</v>
      </c>
      <c r="I22" s="17" t="s">
        <v>494</v>
      </c>
      <c r="J22" s="20" t="s">
        <v>334</v>
      </c>
      <c r="K22" s="22" t="inlineStr">
        <is>
          <t xml:space="preserve">Could not complete set a password that breaks the password rule: no activation email/link or Pending Activation state is produced. The required activation page/token cannot be opened for this case.</t>
        </is>
      </c>
      <c r="L22" s="23" t="inlineStr">
        <is>
          <t xml:space="preserve">Blocked</t>
        </is>
      </c>
      <c r="M22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23" customFormat="false" ht="57.45" hidden="false" customHeight="false" outlineLevel="0" collapsed="false">
      <c r="A23" s="21" t="s">
        <v>495</v>
      </c>
      <c r="B23" s="17" t="s">
        <v>483</v>
      </c>
      <c r="C23" s="17" t="s">
        <v>496</v>
      </c>
      <c r="D23" s="17" t="s">
        <v>43</v>
      </c>
      <c r="E23" s="20" t="s">
        <v>401</v>
      </c>
      <c r="F23" s="17" t="s">
        <v>485</v>
      </c>
      <c r="G23" s="17" t="s">
        <v>497</v>
      </c>
      <c r="H23" s="17" t="s">
        <v>498</v>
      </c>
      <c r="I23" s="17" t="s">
        <v>499</v>
      </c>
      <c r="J23" s="20" t="s">
        <v>334</v>
      </c>
      <c r="K23" s="22" t="inlineStr">
        <is>
          <t xml:space="preserve">Could not complete confirm password does not match: no activation email/link or Pending Activation state is produced. The required activation page/token cannot be opened for this case.</t>
        </is>
      </c>
      <c r="L23" s="23" t="inlineStr">
        <is>
          <t xml:space="preserve">Blocked</t>
        </is>
      </c>
      <c r="M23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24" customFormat="false" ht="57.45" hidden="false" customHeight="false" outlineLevel="0" collapsed="false">
      <c r="A24" s="21" t="s">
        <v>500</v>
      </c>
      <c r="B24" s="17" t="s">
        <v>483</v>
      </c>
      <c r="C24" s="17" t="s">
        <v>501</v>
      </c>
      <c r="D24" s="17" t="s">
        <v>45</v>
      </c>
      <c r="E24" s="20" t="s">
        <v>380</v>
      </c>
      <c r="F24" s="17" t="s">
        <v>485</v>
      </c>
      <c r="G24" s="17" t="s">
        <v>502</v>
      </c>
      <c r="H24" s="17" t="s">
        <v>503</v>
      </c>
      <c r="I24" s="17" t="s">
        <v>504</v>
      </c>
      <c r="J24" s="20" t="s">
        <v>358</v>
      </c>
      <c r="K24" s="22" t="inlineStr">
        <is>
          <t xml:space="preserve">Could not complete open an expired activation link: no activation email/link or Pending Activation state is produced. The required activation page/token cannot be opened for this case.</t>
        </is>
      </c>
      <c r="L24" s="23" t="inlineStr">
        <is>
          <t xml:space="preserve">Blocked</t>
        </is>
      </c>
      <c r="M24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25" customFormat="false" ht="68.65" hidden="false" customHeight="false" outlineLevel="0" collapsed="false">
      <c r="A25" s="21" t="s">
        <v>505</v>
      </c>
      <c r="B25" s="17" t="s">
        <v>483</v>
      </c>
      <c r="C25" s="17" t="s">
        <v>506</v>
      </c>
      <c r="D25" s="17" t="s">
        <v>49</v>
      </c>
      <c r="E25" s="20" t="s">
        <v>401</v>
      </c>
      <c r="F25" s="17" t="s">
        <v>507</v>
      </c>
      <c r="G25" s="17" t="s">
        <v>508</v>
      </c>
      <c r="H25" s="17" t="s">
        <v>509</v>
      </c>
      <c r="I25" s="17" t="s">
        <v>510</v>
      </c>
      <c r="J25" s="20" t="s">
        <v>358</v>
      </c>
      <c r="K25" s="22" t="inlineStr">
        <is>
          <t xml:space="preserve">Could not complete logistics resends the activation email: no activation email/link or Pending Activation state is produced. The required activation page/token cannot be opened for this case.</t>
        </is>
      </c>
      <c r="L25" s="23" t="inlineStr">
        <is>
          <t xml:space="preserve">Blocked</t>
        </is>
      </c>
      <c r="M25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26" customFormat="false" ht="35.05" hidden="false" customHeight="false" outlineLevel="0" collapsed="false">
      <c r="A26" s="21" t="s">
        <v>511</v>
      </c>
      <c r="B26" s="17" t="s">
        <v>483</v>
      </c>
      <c r="C26" s="17" t="s">
        <v>512</v>
      </c>
      <c r="D26" s="17" t="s">
        <v>49</v>
      </c>
      <c r="E26" s="20" t="s">
        <v>401</v>
      </c>
      <c r="F26" s="17" t="s">
        <v>513</v>
      </c>
      <c r="G26" s="17" t="s">
        <v>514</v>
      </c>
      <c r="H26" s="17" t="s">
        <v>515</v>
      </c>
      <c r="I26" s="17" t="s">
        <v>516</v>
      </c>
      <c r="J26" s="20" t="s">
        <v>358</v>
      </c>
      <c r="K26" s="22" t="inlineStr">
        <is>
          <t xml:space="preserve">Could not complete reuse the activation link after activating: no activation email/link or Pending Activation state is produced. The required activation page/token cannot be opened for this case.</t>
        </is>
      </c>
      <c r="L26" s="23" t="inlineStr">
        <is>
          <t xml:space="preserve">Blocked</t>
        </is>
      </c>
      <c r="M26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27" customFormat="false" ht="35.05" hidden="false" customHeight="false" outlineLevel="0" collapsed="false">
      <c r="A27" s="21" t="s">
        <v>517</v>
      </c>
      <c r="B27" s="17" t="s">
        <v>483</v>
      </c>
      <c r="C27" s="17" t="s">
        <v>518</v>
      </c>
      <c r="D27" s="17" t="s">
        <v>49</v>
      </c>
      <c r="E27" s="20" t="s">
        <v>380</v>
      </c>
      <c r="F27" s="17" t="s">
        <v>519</v>
      </c>
      <c r="G27" s="17" t="s">
        <v>520</v>
      </c>
      <c r="H27" s="17" t="s">
        <v>521</v>
      </c>
      <c r="I27" s="17" t="s">
        <v>522</v>
      </c>
      <c r="J27" s="20" t="s">
        <v>358</v>
      </c>
      <c r="K27" s="22" t="inlineStr">
        <is>
          <t xml:space="preserve">Signing in with the rider whose application is still waiting for the hub succeeded (it is a normal Loved-IT account). Opening the rider dashboard redirected to /register/rider, which shows that the application is waiting for the hub; the rider pages are not available.</t>
        </is>
      </c>
      <c r="L27" s="23" t="inlineStr">
        <is>
          <t xml:space="preserve">Fail</t>
        </is>
      </c>
      <c r="M27" s="22" t="inlineStr">
        <is>
          <t xml:space="preserve">Login itself is not denied: the person can still shop with the account; only the rider pages are closed until the hub approves (A13). Screenshot: TC-RID-026.jpg Recovered evidence from the prior recorded browser run; reviewed in this continuation, not rerun as a fresh account test.</t>
        </is>
      </c>
    </row>
    <row r="28" customFormat="false" ht="35.05" hidden="false" customHeight="false" outlineLevel="0" collapsed="false">
      <c r="A28" s="21" t="s">
        <v>523</v>
      </c>
      <c r="B28" s="17" t="s">
        <v>524</v>
      </c>
      <c r="C28" s="17" t="s">
        <v>525</v>
      </c>
      <c r="D28" s="17" t="s">
        <v>51</v>
      </c>
      <c r="E28" s="20" t="s">
        <v>380</v>
      </c>
      <c r="F28" s="17" t="s">
        <v>526</v>
      </c>
      <c r="G28" s="17" t="s">
        <v>520</v>
      </c>
      <c r="H28" s="17" t="s">
        <v>521</v>
      </c>
      <c r="I28" s="17" t="s">
        <v>527</v>
      </c>
      <c r="J28" s="20" t="s">
        <v>358</v>
      </c>
      <c r="K28" s="22" t="inlineStr">
        <is>
          <t xml:space="preserve">After the hub approved the application (approve button not found), the rider signed in at /rider/login and stayed at /register/rider. It shows "Pedro" and "Bilis Hatid" and the hub "Bilis Hatid Pasig Hub".</t>
        </is>
      </c>
      <c r="L28" s="23" t="inlineStr">
        <is>
          <t xml:space="preserve">Fail</t>
        </is>
      </c>
      <c r="M28" s="22" t="inlineStr">
        <is>
          <t xml:space="preserve">"Active" in this system means the hub approved the rider. The dashboard names the hub rather than the courier company. Screenshots: TC-RID-027-hub.jpg, TC-RID-027.jpg Recovered evidence from the prior recorded browser run; reviewed in this continuation, not rerun as a fresh account test.</t>
        </is>
      </c>
    </row>
    <row r="29" customFormat="false" ht="46.25" hidden="false" customHeight="false" outlineLevel="0" collapsed="false">
      <c r="A29" s="21" t="s">
        <v>528</v>
      </c>
      <c r="B29" s="17" t="s">
        <v>524</v>
      </c>
      <c r="C29" s="17" t="s">
        <v>529</v>
      </c>
      <c r="D29" s="17" t="s">
        <v>53</v>
      </c>
      <c r="E29" s="20" t="s">
        <v>380</v>
      </c>
      <c r="F29" s="17" t="s">
        <v>530</v>
      </c>
      <c r="G29" s="17" t="s">
        <v>531</v>
      </c>
      <c r="H29" s="17" t="s">
        <v>532</v>
      </c>
      <c r="I29" s="17" t="s">
        <v>533</v>
      </c>
      <c r="J29" s="20" t="s">
        <v>358</v>
      </c>
      <c r="K29" s="22" t="inlineStr">
        <is>
          <t xml:space="preserve">In the courier portal, Pedro Jose Garcia appears in the rider list of Bilis Hatid Express Inc. and does not appear in the rider list of Agila Cargo Movers Corp.</t>
        </is>
      </c>
      <c r="L29" s="23" t="inlineStr">
        <is>
          <t xml:space="preserve">Pass</t>
        </is>
      </c>
      <c r="M29" s="22" t="inlineStr">
        <is>
          <t xml:space="preserve">Agila Cargo Movers Corp. was approved by the admin first, as the precondition requires. The rider belongs to the company through the hub he applied to. Screenshots: TC-RID-028-bilis.jpg, TC-RID-028-agila.jpg Recovered evidence from the prior recorded browser run; reviewed in this continuation, not rerun as a fresh account test.</t>
        </is>
      </c>
    </row>
    <row r="30" customFormat="false" ht="46.25" hidden="false" customHeight="false" outlineLevel="0" collapsed="false">
      <c r="A30" s="21" t="s">
        <v>534</v>
      </c>
      <c r="B30" s="17" t="s">
        <v>524</v>
      </c>
      <c r="C30" s="17" t="s">
        <v>535</v>
      </c>
      <c r="D30" s="17" t="s">
        <v>53</v>
      </c>
      <c r="E30" s="20" t="s">
        <v>380</v>
      </c>
      <c r="F30" s="17" t="s">
        <v>536</v>
      </c>
      <c r="G30" s="17" t="s">
        <v>537</v>
      </c>
      <c r="H30" s="17" t="s">
        <v>538</v>
      </c>
      <c r="I30" s="17" t="s">
        <v>539</v>
      </c>
      <c r="J30" s="20" t="s">
        <v>358</v>
      </c>
      <c r="K30" s="22" t="inlineStr">
        <is>
          <t xml:space="preserve">Rider IS offered as a self-registration role: "Become a rider" in the header and footer opens /register/rider ("Deliver with Loved-IT"), which asks a signed-out visitor to sign in or create an account and then apply. There is no Add Rider form; the courier portal's rider page (/logistics/riders) redirects a signed-out visitor to /login?next=%2Flogistics.</t>
        </is>
      </c>
      <c r="L30" s="23" t="inlineStr">
        <is>
          <t xml:space="preserve">Fail</t>
        </is>
      </c>
      <c r="M30" s="22" t="inlineStr">
        <is>
          <t xml:space="preserve">Design difference (A13): riders register themselves and are approved by their hub. Screenshot: TC-RID-029.jpg Recovered evidence from the prior recorded browser run; reviewed in this continuation, not rerun as a fresh account test.</t>
        </is>
      </c>
    </row>
    <row r="31" customFormat="false" ht="46.25" hidden="false" customHeight="false" outlineLevel="0" collapsed="false">
      <c r="A31" s="21" t="s">
        <v>540</v>
      </c>
      <c r="B31" s="17" t="s">
        <v>524</v>
      </c>
      <c r="C31" s="17" t="s">
        <v>541</v>
      </c>
      <c r="D31" s="17" t="s">
        <v>53</v>
      </c>
      <c r="E31" s="20" t="s">
        <v>380</v>
      </c>
      <c r="F31" s="17" t="s">
        <v>542</v>
      </c>
      <c r="G31" s="17" t="s">
        <v>543</v>
      </c>
      <c r="H31" s="17" t="s">
        <v>544</v>
      </c>
      <c r="I31" s="17" t="s">
        <v>545</v>
      </c>
      <c r="J31" s="20" t="s">
        <v>367</v>
      </c>
      <c r="K31" s="22" t="inlineStr">
        <is>
          <t xml:space="preserve">Could not complete buyer or seller opens the add rider form: the company Add Rider form does not exist, so the exact buyer/seller access test has no target form to open. Partial observation: Related hub/company rider-management URLs denied the buyer, but that is not execution of the missing Add Rider form test.</t>
        </is>
      </c>
      <c r="L31" s="23" t="inlineStr">
        <is>
          <t xml:space="preserve">Blocked</t>
        </is>
      </c>
      <c r="M31" s="22" t="inlineStr">
        <is>
          <t xml:space="preserve">Blocked prerequisite: TC-RID-001. The required setup/action was unavailable, so the dependent expected result was not verified. Based on the previous recorded browser evidence; not a fresh rerun.</t>
        </is>
      </c>
    </row>
    <row r="32" customFormat="false" ht="46.25" hidden="false" customHeight="false" outlineLevel="0" collapsed="false">
      <c r="A32" s="21" t="s">
        <v>546</v>
      </c>
      <c r="B32" s="17" t="s">
        <v>524</v>
      </c>
      <c r="C32" s="17" t="s">
        <v>547</v>
      </c>
      <c r="D32" s="17" t="s">
        <v>49</v>
      </c>
      <c r="E32" s="20" t="s">
        <v>380</v>
      </c>
      <c r="F32" s="17" t="s">
        <v>548</v>
      </c>
      <c r="G32" s="17" t="s">
        <v>549</v>
      </c>
      <c r="H32" s="17" t="s">
        <v>544</v>
      </c>
      <c r="I32" s="17" t="s">
        <v>550</v>
      </c>
      <c r="J32" s="20" t="s">
        <v>551</v>
      </c>
      <c r="K32" s="22" t="inlineStr">
        <is>
          <t xml:space="preserve">With a courier company still pending, opening the courier portal's rider page redirected to /register/courier, which shows the "Under review" notice. The portal API answered 403. No rider can be added (the portal has no Add Rider form in any case).</t>
        </is>
      </c>
      <c r="L32" s="23" t="inlineStr">
        <is>
          <t xml:space="preserve">Pass</t>
        </is>
      </c>
      <c r="M32" s="22" t="inlineStr">
        <is>
          <t xml:space="preserve">A fresh pending company was used, because Agila Cargo Movers Corp. had to be approved for TC-RID-028. Screenshot: TC-RID-031.jpg Recovered evidence from the prior recorded browser run; reviewed in this continuation, not rerun as a fresh account test.</t>
        </is>
      </c>
    </row>
    <row r="33" customFormat="false" ht="35.05" hidden="false" customHeight="false" outlineLevel="0" collapsed="false">
      <c r="A33" s="21" t="s">
        <v>552</v>
      </c>
      <c r="B33" s="17" t="s">
        <v>524</v>
      </c>
      <c r="C33" s="17" t="s">
        <v>553</v>
      </c>
      <c r="D33" s="17" t="s">
        <v>53</v>
      </c>
      <c r="E33" s="20" t="s">
        <v>401</v>
      </c>
      <c r="F33" s="17" t="s">
        <v>554</v>
      </c>
      <c r="G33" s="17" t="s">
        <v>555</v>
      </c>
      <c r="H33" s="17" t="s">
        <v>556</v>
      </c>
      <c r="I33" s="17" t="s">
        <v>557</v>
      </c>
      <c r="J33" s="20" t="s">
        <v>367</v>
      </c>
      <c r="K33" s="22" t="inlineStr">
        <is>
          <t xml:space="preserve">Logistics dashboard (/logistics): redirected to /register/courier; Seller dashboard (/seller): redirected to /register/seller; Admin dashboard (/admin): redirected to /. API: admin 404, logistics 403. No data from another role was shown.</t>
        </is>
      </c>
      <c r="L33" s="23" t="inlineStr">
        <is>
          <t xml:space="preserve">Pass</t>
        </is>
      </c>
      <c r="M33" s="22" t="inlineStr">
        <is>
          <t xml:space="preserve">Screenshots: TC-RID-032-*.jpg Recovered evidence from the prior recorded browser run; reviewed in this continuation, not rerun as a fresh account test.</t>
        </is>
      </c>
    </row>
  </sheetData>
  <autoFilter ref="A1:M33"/>
  <conditionalFormatting sqref="L2:L3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3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