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B1 Account" sheetId="5" state="visible" r:id="rId5"/>
    <sheet xmlns:r="http://schemas.openxmlformats.org/officeDocument/2006/relationships" name="B2 Address Book" sheetId="6" state="visible" r:id="rId6"/>
    <sheet xmlns:r="http://schemas.openxmlformats.org/officeDocument/2006/relationships" name="B3 Browse &amp; Search" sheetId="7" state="visible" r:id="rId7"/>
    <sheet xmlns:r="http://schemas.openxmlformats.org/officeDocument/2006/relationships" name="B4 Product Detail" sheetId="8" state="visible" r:id="rId8"/>
    <sheet xmlns:r="http://schemas.openxmlformats.org/officeDocument/2006/relationships" name="B5 Wishlist &amp; Follow" sheetId="9" state="visible" r:id="rId9"/>
    <sheet xmlns:r="http://schemas.openxmlformats.org/officeDocument/2006/relationships" name="B6 Cart" sheetId="10" state="visible" r:id="rId10"/>
    <sheet xmlns:r="http://schemas.openxmlformats.org/officeDocument/2006/relationships" name="B7 Vouchers" sheetId="11" state="visible" r:id="rId11"/>
    <sheet xmlns:r="http://schemas.openxmlformats.org/officeDocument/2006/relationships" name="B8 Checkout" sheetId="12" state="visible" r:id="rId12"/>
    <sheet xmlns:r="http://schemas.openxmlformats.org/officeDocument/2006/relationships" name="B9 Payment" sheetId="13" state="visible" r:id="rId13"/>
    <sheet xmlns:r="http://schemas.openxmlformats.org/officeDocument/2006/relationships" name="B10 Order Tracking" sheetId="14" state="visible" r:id="rId14"/>
    <sheet xmlns:r="http://schemas.openxmlformats.org/officeDocument/2006/relationships" name="B11 Cancellation" sheetId="15" state="visible" r:id="rId15"/>
    <sheet xmlns:r="http://schemas.openxmlformats.org/officeDocument/2006/relationships" name="B12 Return &amp; Refund" sheetId="16" state="visible" r:id="rId16"/>
    <sheet xmlns:r="http://schemas.openxmlformats.org/officeDocument/2006/relationships" name="B13 Ratings &amp; Reviews" sheetId="17" state="visible" r:id="rId17"/>
    <sheet xmlns:r="http://schemas.openxmlformats.org/officeDocument/2006/relationships" name="B14 Chat &amp; Notifs" sheetId="18" state="visible" r:id="rId18"/>
  </sheets>
  <definedNames>
    <definedName name="_xlnm._FilterDatabase" localSheetId="4" hidden="1">'B1 Account'!$A$1:$M$10</definedName>
    <definedName name="_xlnm._FilterDatabase" localSheetId="5" hidden="1">'B2 Address Book'!$A$1:$M$10</definedName>
    <definedName name="_xlnm._FilterDatabase" localSheetId="6" hidden="1">'B3 Browse &amp; Search'!$A$1:$M$12</definedName>
    <definedName name="_xlnm._FilterDatabase" localSheetId="7" hidden="1">'B4 Product Detail'!$A$1:$M$9</definedName>
    <definedName name="_xlnm._FilterDatabase" localSheetId="8" hidden="1">'B5 Wishlist &amp; Follow'!$A$1:$M$6</definedName>
    <definedName name="_xlnm._FilterDatabase" localSheetId="9" hidden="1">'B6 Cart'!$A$1:$M$11</definedName>
    <definedName name="_xlnm._FilterDatabase" localSheetId="10" hidden="1">'B7 Vouchers'!$A$1:$M$13</definedName>
    <definedName name="_xlnm._FilterDatabase" localSheetId="11" hidden="1">'B8 Checkout'!$A$1:$M$12</definedName>
    <definedName name="_xlnm._FilterDatabase" localSheetId="12" hidden="1">'B9 Payment'!$A$1:$M$8</definedName>
    <definedName name="_xlnm._FilterDatabase" localSheetId="13" hidden="1">'B10 Order Tracking'!$A$1:$M$7</definedName>
    <definedName name="_xlnm._FilterDatabase" localSheetId="14" hidden="1">'B11 Cancellation'!$A$1:$M$7</definedName>
    <definedName name="_xlnm._FilterDatabase" localSheetId="15" hidden="1">'B12 Return &amp; Refund'!$A$1:$M$6</definedName>
    <definedName name="_xlnm._FilterDatabase" localSheetId="16" hidden="1">'B13 Ratings &amp; Reviews'!$A$1:$M$7</definedName>
    <definedName name="_xlnm._FilterDatabase" localSheetId="17" hidden="1">'B14 Chat &amp; Notifs'!$A$1:$M$6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Buyer Modules (B1–B14)</t>
        </is>
      </c>
    </row>
    <row r="2">
      <c r="A2" s="2" t="inlineStr">
        <is>
          <t>Multi-role e-commerce and logistics platform (Buyer, Seller, Logistics, Rider)</t>
        </is>
      </c>
    </row>
    <row r="4">
      <c r="A4" s="3" t="inlineStr">
        <is>
          <t>Test run details</t>
        </is>
      </c>
    </row>
    <row r="5">
      <c r="A5" s="4" t="inlineStr">
        <is>
          <t>System under test</t>
        </is>
      </c>
      <c r="B5" s="5" t="inlineStr">
        <is>
          <t xml:space="preserve">Loved-IT marketplace — existing local React frontend and Laravel API</t>
        </is>
      </c>
    </row>
    <row r="6">
      <c r="A6" s="4" t="inlineStr">
        <is>
          <t>Version / build</t>
        </is>
      </c>
      <c r="B6" s="5" t="inlineStr">
        <is>
          <t xml:space="preserve">king/courier-companies, commit 335f7c5; existing local working tree</t>
        </is>
      </c>
    </row>
    <row r="7">
      <c r="A7" s="4" t="inlineStr">
        <is>
          <t>Test environment (browser, device)</t>
        </is>
      </c>
      <c r="B7" s="5" t="inlineStr">
        <is>
          <t xml:space="preserve">Windows; Edge 1366x900 plus real local API. Isolated velure_blackbox DB, separate storage and log mail. Missing features assessed by implementation review.</t>
        </is>
      </c>
    </row>
    <row r="8">
      <c r="A8" s="4" t="inlineStr">
        <is>
          <t>Tester</t>
        </is>
      </c>
      <c r="B8" s="5" t="inlineStr">
        <is>
          <t xml:space="preserve">Codex automated runtime tests and implementation review; method stated in each Remarks cell</t>
        </is>
      </c>
    </row>
    <row r="9">
      <c r="A9" s="4" t="inlineStr">
        <is>
          <t>Date tested</t>
        </is>
      </c>
      <c r="B9" s="5" t="inlineStr">
        <is>
          <t xml:space="preserve">2026-10-18 (Asia/Manila)</t>
        </is>
      </c>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B1 Account</t>
        </is>
      </c>
      <c r="B13" s="8">
        <f>COUNTA('B1 Account'!$A$2:$A$200)</f>
        <v/>
      </c>
      <c r="C13" s="8">
        <f>COUNTIF('B1 Account'!$L$2:$L$200,"Pass")</f>
        <v/>
      </c>
      <c r="D13" s="8">
        <f>COUNTIF('B1 Account'!$L$2:$L$200,"Fail")</f>
        <v/>
      </c>
      <c r="E13" s="8">
        <f>COUNTIF('B1 Account'!$L$2:$L$200,"Blocked")</f>
        <v/>
      </c>
      <c r="F13" s="8">
        <f>COUNTIF('B1 Account'!$L$2:$L$200,"Not Run")</f>
        <v/>
      </c>
      <c r="G13" s="9">
        <f>IF(B13=0,0,C13/B13)</f>
        <v/>
      </c>
    </row>
    <row r="14">
      <c r="A14" s="7" t="inlineStr">
        <is>
          <t>B2 Address Book</t>
        </is>
      </c>
      <c r="B14" s="8">
        <f>COUNTA('B2 Address Book'!$A$2:$A$200)</f>
        <v/>
      </c>
      <c r="C14" s="8">
        <f>COUNTIF('B2 Address Book'!$L$2:$L$200,"Pass")</f>
        <v/>
      </c>
      <c r="D14" s="8">
        <f>COUNTIF('B2 Address Book'!$L$2:$L$200,"Fail")</f>
        <v/>
      </c>
      <c r="E14" s="8">
        <f>COUNTIF('B2 Address Book'!$L$2:$L$200,"Blocked")</f>
        <v/>
      </c>
      <c r="F14" s="8">
        <f>COUNTIF('B2 Address Book'!$L$2:$L$200,"Not Run")</f>
        <v/>
      </c>
      <c r="G14" s="9">
        <f>IF(B14=0,0,C14/B14)</f>
        <v/>
      </c>
    </row>
    <row r="15">
      <c r="A15" s="7" t="inlineStr">
        <is>
          <t>B3 Browse &amp; Search</t>
        </is>
      </c>
      <c r="B15" s="8">
        <f>COUNTA('B3 Browse &amp; Search'!$A$2:$A$200)</f>
        <v/>
      </c>
      <c r="C15" s="8">
        <f>COUNTIF('B3 Browse &amp; Search'!$L$2:$L$200,"Pass")</f>
        <v/>
      </c>
      <c r="D15" s="8">
        <f>COUNTIF('B3 Browse &amp; Search'!$L$2:$L$200,"Fail")</f>
        <v/>
      </c>
      <c r="E15" s="8">
        <f>COUNTIF('B3 Browse &amp; Search'!$L$2:$L$200,"Blocked")</f>
        <v/>
      </c>
      <c r="F15" s="8">
        <f>COUNTIF('B3 Browse &amp; Search'!$L$2:$L$200,"Not Run")</f>
        <v/>
      </c>
      <c r="G15" s="9">
        <f>IF(B15=0,0,C15/B15)</f>
        <v/>
      </c>
    </row>
    <row r="16">
      <c r="A16" s="7" t="inlineStr">
        <is>
          <t>B4 Product Detail</t>
        </is>
      </c>
      <c r="B16" s="8">
        <f>COUNTA('B4 Product Detail'!$A$2:$A$200)</f>
        <v/>
      </c>
      <c r="C16" s="8">
        <f>COUNTIF('B4 Product Detail'!$L$2:$L$200,"Pass")</f>
        <v/>
      </c>
      <c r="D16" s="8">
        <f>COUNTIF('B4 Product Detail'!$L$2:$L$200,"Fail")</f>
        <v/>
      </c>
      <c r="E16" s="8">
        <f>COUNTIF('B4 Product Detail'!$L$2:$L$200,"Blocked")</f>
        <v/>
      </c>
      <c r="F16" s="8">
        <f>COUNTIF('B4 Product Detail'!$L$2:$L$200,"Not Run")</f>
        <v/>
      </c>
      <c r="G16" s="9">
        <f>IF(B16=0,0,C16/B16)</f>
        <v/>
      </c>
    </row>
    <row r="17">
      <c r="A17" s="7" t="inlineStr">
        <is>
          <t>B5 Wishlist &amp; Follow</t>
        </is>
      </c>
      <c r="B17" s="8">
        <f>COUNTA('B5 Wishlist &amp; Follow'!$A$2:$A$200)</f>
        <v/>
      </c>
      <c r="C17" s="8">
        <f>COUNTIF('B5 Wishlist &amp; Follow'!$L$2:$L$200,"Pass")</f>
        <v/>
      </c>
      <c r="D17" s="8">
        <f>COUNTIF('B5 Wishlist &amp; Follow'!$L$2:$L$200,"Fail")</f>
        <v/>
      </c>
      <c r="E17" s="8">
        <f>COUNTIF('B5 Wishlist &amp; Follow'!$L$2:$L$200,"Blocked")</f>
        <v/>
      </c>
      <c r="F17" s="8">
        <f>COUNTIF('B5 Wishlist &amp; Follow'!$L$2:$L$200,"Not Run")</f>
        <v/>
      </c>
      <c r="G17" s="9">
        <f>IF(B17=0,0,C17/B17)</f>
        <v/>
      </c>
    </row>
    <row r="18">
      <c r="A18" s="7" t="inlineStr">
        <is>
          <t>B6 Cart</t>
        </is>
      </c>
      <c r="B18" s="8">
        <f>COUNTA('B6 Cart'!$A$2:$A$200)</f>
        <v/>
      </c>
      <c r="C18" s="8">
        <f>COUNTIF('B6 Cart'!$L$2:$L$200,"Pass")</f>
        <v/>
      </c>
      <c r="D18" s="8">
        <f>COUNTIF('B6 Cart'!$L$2:$L$200,"Fail")</f>
        <v/>
      </c>
      <c r="E18" s="8">
        <f>COUNTIF('B6 Cart'!$L$2:$L$200,"Blocked")</f>
        <v/>
      </c>
      <c r="F18" s="8">
        <f>COUNTIF('B6 Cart'!$L$2:$L$200,"Not Run")</f>
        <v/>
      </c>
      <c r="G18" s="9">
        <f>IF(B18=0,0,C18/B18)</f>
        <v/>
      </c>
    </row>
    <row r="19">
      <c r="A19" s="7" t="inlineStr">
        <is>
          <t>B7 Vouchers</t>
        </is>
      </c>
      <c r="B19" s="8">
        <f>COUNTA('B7 Vouchers'!$A$2:$A$200)</f>
        <v/>
      </c>
      <c r="C19" s="8">
        <f>COUNTIF('B7 Vouchers'!$L$2:$L$200,"Pass")</f>
        <v/>
      </c>
      <c r="D19" s="8">
        <f>COUNTIF('B7 Vouchers'!$L$2:$L$200,"Fail")</f>
        <v/>
      </c>
      <c r="E19" s="8">
        <f>COUNTIF('B7 Vouchers'!$L$2:$L$200,"Blocked")</f>
        <v/>
      </c>
      <c r="F19" s="8">
        <f>COUNTIF('B7 Vouchers'!$L$2:$L$200,"Not Run")</f>
        <v/>
      </c>
      <c r="G19" s="9">
        <f>IF(B19=0,0,C19/B19)</f>
        <v/>
      </c>
    </row>
    <row r="20">
      <c r="A20" s="7" t="inlineStr">
        <is>
          <t>B8 Checkout</t>
        </is>
      </c>
      <c r="B20" s="8">
        <f>COUNTA('B8 Checkout'!$A$2:$A$200)</f>
        <v/>
      </c>
      <c r="C20" s="8">
        <f>COUNTIF('B8 Checkout'!$L$2:$L$200,"Pass")</f>
        <v/>
      </c>
      <c r="D20" s="8">
        <f>COUNTIF('B8 Checkout'!$L$2:$L$200,"Fail")</f>
        <v/>
      </c>
      <c r="E20" s="8">
        <f>COUNTIF('B8 Checkout'!$L$2:$L$200,"Blocked")</f>
        <v/>
      </c>
      <c r="F20" s="8">
        <f>COUNTIF('B8 Checkout'!$L$2:$L$200,"Not Run")</f>
        <v/>
      </c>
      <c r="G20" s="9">
        <f>IF(B20=0,0,C20/B20)</f>
        <v/>
      </c>
    </row>
    <row r="21">
      <c r="A21" s="7" t="inlineStr">
        <is>
          <t>B9 Payment</t>
        </is>
      </c>
      <c r="B21" s="8">
        <f>COUNTA('B9 Payment'!$A$2:$A$200)</f>
        <v/>
      </c>
      <c r="C21" s="8">
        <f>COUNTIF('B9 Payment'!$L$2:$L$200,"Pass")</f>
        <v/>
      </c>
      <c r="D21" s="8">
        <f>COUNTIF('B9 Payment'!$L$2:$L$200,"Fail")</f>
        <v/>
      </c>
      <c r="E21" s="8">
        <f>COUNTIF('B9 Payment'!$L$2:$L$200,"Blocked")</f>
        <v/>
      </c>
      <c r="F21" s="8">
        <f>COUNTIF('B9 Payment'!$L$2:$L$200,"Not Run")</f>
        <v/>
      </c>
      <c r="G21" s="9">
        <f>IF(B21=0,0,C21/B21)</f>
        <v/>
      </c>
    </row>
    <row r="22">
      <c r="A22" s="7" t="inlineStr">
        <is>
          <t>B10 Order Tracking</t>
        </is>
      </c>
      <c r="B22" s="8">
        <f>COUNTA('B10 Order Tracking'!$A$2:$A$200)</f>
        <v/>
      </c>
      <c r="C22" s="8">
        <f>COUNTIF('B10 Order Tracking'!$L$2:$L$200,"Pass")</f>
        <v/>
      </c>
      <c r="D22" s="8">
        <f>COUNTIF('B10 Order Tracking'!$L$2:$L$200,"Fail")</f>
        <v/>
      </c>
      <c r="E22" s="8">
        <f>COUNTIF('B10 Order Tracking'!$L$2:$L$200,"Blocked")</f>
        <v/>
      </c>
      <c r="F22" s="8">
        <f>COUNTIF('B10 Order Tracking'!$L$2:$L$200,"Not Run")</f>
        <v/>
      </c>
      <c r="G22" s="9">
        <f>IF(B22=0,0,C22/B22)</f>
        <v/>
      </c>
    </row>
    <row r="23">
      <c r="A23" s="7" t="inlineStr">
        <is>
          <t>B11 Cancellation</t>
        </is>
      </c>
      <c r="B23" s="8">
        <f>COUNTA('B11 Cancellation'!$A$2:$A$200)</f>
        <v/>
      </c>
      <c r="C23" s="8">
        <f>COUNTIF('B11 Cancellation'!$L$2:$L$200,"Pass")</f>
        <v/>
      </c>
      <c r="D23" s="8">
        <f>COUNTIF('B11 Cancellation'!$L$2:$L$200,"Fail")</f>
        <v/>
      </c>
      <c r="E23" s="8">
        <f>COUNTIF('B11 Cancellation'!$L$2:$L$200,"Blocked")</f>
        <v/>
      </c>
      <c r="F23" s="8">
        <f>COUNTIF('B11 Cancellation'!$L$2:$L$200,"Not Run")</f>
        <v/>
      </c>
      <c r="G23" s="9">
        <f>IF(B23=0,0,C23/B23)</f>
        <v/>
      </c>
    </row>
    <row r="24">
      <c r="A24" s="7" t="inlineStr">
        <is>
          <t>B12 Return &amp; Refund</t>
        </is>
      </c>
      <c r="B24" s="8">
        <f>COUNTA('B12 Return &amp; Refund'!$A$2:$A$200)</f>
        <v/>
      </c>
      <c r="C24" s="8">
        <f>COUNTIF('B12 Return &amp; Refund'!$L$2:$L$200,"Pass")</f>
        <v/>
      </c>
      <c r="D24" s="8">
        <f>COUNTIF('B12 Return &amp; Refund'!$L$2:$L$200,"Fail")</f>
        <v/>
      </c>
      <c r="E24" s="8">
        <f>COUNTIF('B12 Return &amp; Refund'!$L$2:$L$200,"Blocked")</f>
        <v/>
      </c>
      <c r="F24" s="8">
        <f>COUNTIF('B12 Return &amp; Refund'!$L$2:$L$200,"Not Run")</f>
        <v/>
      </c>
      <c r="G24" s="9">
        <f>IF(B24=0,0,C24/B24)</f>
        <v/>
      </c>
    </row>
    <row r="25">
      <c r="A25" s="7" t="inlineStr">
        <is>
          <t>B13 Ratings &amp; Reviews</t>
        </is>
      </c>
      <c r="B25" s="8">
        <f>COUNTA('B13 Ratings &amp; Reviews'!$A$2:$A$200)</f>
        <v/>
      </c>
      <c r="C25" s="8">
        <f>COUNTIF('B13 Ratings &amp; Reviews'!$L$2:$L$200,"Pass")</f>
        <v/>
      </c>
      <c r="D25" s="8">
        <f>COUNTIF('B13 Ratings &amp; Reviews'!$L$2:$L$200,"Fail")</f>
        <v/>
      </c>
      <c r="E25" s="8">
        <f>COUNTIF('B13 Ratings &amp; Reviews'!$L$2:$L$200,"Blocked")</f>
        <v/>
      </c>
      <c r="F25" s="8">
        <f>COUNTIF('B13 Ratings &amp; Reviews'!$L$2:$L$200,"Not Run")</f>
        <v/>
      </c>
      <c r="G25" s="9">
        <f>IF(B25=0,0,C25/B25)</f>
        <v/>
      </c>
    </row>
    <row r="26">
      <c r="A26" s="7" t="inlineStr">
        <is>
          <t>B14 Chat &amp; Notifs</t>
        </is>
      </c>
      <c r="B26" s="8">
        <f>COUNTA('B14 Chat &amp; Notifs'!$A$2:$A$200)</f>
        <v/>
      </c>
      <c r="C26" s="8">
        <f>COUNTIF('B14 Chat &amp; Notifs'!$L$2:$L$200,"Pass")</f>
        <v/>
      </c>
      <c r="D26" s="8">
        <f>COUNTIF('B14 Chat &amp; Notifs'!$L$2:$L$200,"Fail")</f>
        <v/>
      </c>
      <c r="E26" s="8">
        <f>COUNTIF('B14 Chat &amp; Notifs'!$L$2:$L$200,"Blocked")</f>
        <v/>
      </c>
      <c r="F26" s="8">
        <f>COUNTIF('B14 Chat &amp; Notifs'!$L$2:$L$200,"Not Run")</f>
        <v/>
      </c>
      <c r="G26" s="9">
        <f>IF(B26=0,0,C26/B26)</f>
        <v/>
      </c>
    </row>
    <row r="27">
      <c r="A27" s="4" t="inlineStr">
        <is>
          <t>Total</t>
        </is>
      </c>
      <c r="B27" s="4">
        <f>SUM(B13:B26)</f>
        <v/>
      </c>
      <c r="C27" s="4">
        <f>SUM(C13:C26)</f>
        <v/>
      </c>
      <c r="D27" s="4">
        <f>SUM(D13:D26)</f>
        <v/>
      </c>
      <c r="E27" s="4">
        <f>SUM(E13:E26)</f>
        <v/>
      </c>
      <c r="F27" s="4">
        <f>SUM(F13:F26)</f>
        <v/>
      </c>
      <c r="G27" s="10">
        <f>IF(B27=0,0,C27/B27)</f>
        <v/>
      </c>
    </row>
    <row r="29">
      <c r="A29" s="3" t="inlineStr">
        <is>
          <t>How to use this workbook</t>
        </is>
      </c>
    </row>
    <row r="30" ht="16.75" customHeight="1">
      <c r="A30" s="11" t="inlineStr">
        <is>
          <t>1. Run after the Seller test set, so the products, vouchers and sales on the Test Data sheet exist.</t>
        </is>
      </c>
    </row>
    <row r="31" ht="29.5" customHeight="1">
      <c r="A31"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32" ht="29.5" customHeight="1">
      <c r="A32" s="11" t="inlineStr">
        <is>
          <t>3. Check side effects, not just the screen: after each case, confirm the stock, order status, voucher usage, balances and the other roles' views named in the Expected Result. 'Nothing is saved' means the record is missing after a page refresh.</t>
        </is>
      </c>
    </row>
    <row r="33" ht="29.5" customHeight="1">
      <c r="A33" s="11" t="inlineStr">
        <is>
          <t>4. Error messages must appear next to the field (or at the top of the form) and say what is wrong and how to fix it. A generic 'Something went wrong', a blank page, or a 500 error is a Fail even when the action was correctly blocked.</t>
        </is>
      </c>
    </row>
    <row r="34" ht="29.5" customHeight="1">
      <c r="A34" s="11" t="inlineStr">
        <is>
          <t>5. For 'Error Guessing' security cases, a correct block shows a 403 page, a 'not found' page or a redirect, and shows NO data from the other user's record anywhere on the page.</t>
        </is>
      </c>
    </row>
    <row r="35" ht="29.5" customHeight="1">
      <c r="A35" s="11" t="inlineStr">
        <is>
          <t>6. Read the Assumptions sheet first. Rules A2 to A8 are the seven rules the module plan says must be agreed before testing; adjust any case whose rule differs from your system.</t>
        </is>
      </c>
    </row>
    <row r="36" ht="29.5" customHeight="1">
      <c r="A36" s="11" t="inlineStr">
        <is>
          <t>7. Seed the accounts, products, vouchers and shipping rates on the Test Data sheet before running the cases. Emails use example.com; read them from a mail catcher such as Mailtrap.</t>
        </is>
      </c>
    </row>
    <row r="37" ht="16.75" customHeight="1">
      <c r="A37" s="11" t="inlineStr">
        <is>
          <t>8. Test Case IDs follow &lt;ROLE&gt;-&lt;MODULE&gt;-&lt;NNN&gt;. Each module has positive, negative and boundary cases.</t>
        </is>
      </c>
    </row>
    <row r="38" ht="16.75" customHeight="1">
      <c r="A38" s="11" t="inlineStr">
        <is>
          <t>9. Fill in only the yellow cells: Actual Result, Status and Remarks. Pick the Status from the dropdown (Pass, Fail, Blocked, Not Run).</t>
        </is>
      </c>
    </row>
    <row r="39" ht="29.5" customHeight="1">
      <c r="A39" s="11" t="inlineStr">
        <is>
          <t>10. Pass = actual matches expected. Fail = it does not (describe what happened and add a screenshot or bug number in Remarks). Blocked = the case could not be run, for example because an earlier case failed.</t>
        </is>
      </c>
    </row>
    <row r="40" ht="16.75" customHeight="1">
      <c r="A40" s="11" t="inlineStr">
        <is>
          <t>11. The Results by module table above updates automatically from the Status column.</t>
        </is>
      </c>
    </row>
    <row r="42">
      <c r="A42" s="3" t="inlineStr">
        <is>
          <t>Black-box techniques used</t>
        </is>
      </c>
    </row>
    <row r="43">
      <c r="A43" s="4" t="inlineStr">
        <is>
          <t>Equivalence Partitioning</t>
        </is>
      </c>
      <c r="B43" s="8" t="inlineStr">
        <is>
          <t>Inputs are grouped into valid and invalid classes, and one value from each class is tested.</t>
        </is>
      </c>
      <c r="C43" s="12" t="n"/>
      <c r="D43" s="12" t="n"/>
      <c r="E43" s="12" t="n"/>
      <c r="F43" s="12" t="n"/>
      <c r="G43" s="13" t="n"/>
    </row>
    <row r="44">
      <c r="A44" s="4" t="inlineStr">
        <is>
          <t>Boundary Value Analysis</t>
        </is>
      </c>
      <c r="B44" s="8" t="inlineStr">
        <is>
          <t>Values at and just beyond a limit are tested, for example ₱0.99, ₱1.00 and ₱1.01 for a ₱1.00 minimum price.</t>
        </is>
      </c>
      <c r="C44" s="12" t="n"/>
      <c r="D44" s="12" t="n"/>
      <c r="E44" s="12" t="n"/>
      <c r="F44" s="12" t="n"/>
      <c r="G44" s="13" t="n"/>
    </row>
    <row r="45">
      <c r="A45" s="4" t="inlineStr">
        <is>
          <t>Decision Table</t>
        </is>
      </c>
      <c r="B45" s="8" t="inlineStr">
        <is>
          <t>Combinations of conditions are tested, for example which vouchers can stack.</t>
        </is>
      </c>
      <c r="C45" s="12" t="n"/>
      <c r="D45" s="12" t="n"/>
      <c r="E45" s="12" t="n"/>
      <c r="F45" s="12" t="n"/>
      <c r="G45" s="13" t="n"/>
    </row>
    <row r="46">
      <c r="A46" s="4" t="inlineStr">
        <is>
          <t>State Transition</t>
        </is>
      </c>
      <c r="B46" s="8" t="inlineStr">
        <is>
          <t>Changes in order or shipment status are tested, including transitions that must be blocked.</t>
        </is>
      </c>
      <c r="C46" s="12" t="n"/>
      <c r="D46" s="12" t="n"/>
      <c r="E46" s="12" t="n"/>
      <c r="F46" s="12" t="n"/>
      <c r="G46" s="13" t="n"/>
    </row>
    <row r="47">
      <c r="A47" s="4" t="inlineStr">
        <is>
          <t>Use Case Testing</t>
        </is>
      </c>
      <c r="B47" s="8" t="inlineStr">
        <is>
          <t>A complete user flow is tested from start to finish with valid data.</t>
        </is>
      </c>
      <c r="C47" s="12" t="n"/>
      <c r="D47" s="12" t="n"/>
      <c r="E47" s="12" t="n"/>
      <c r="F47" s="12" t="n"/>
      <c r="G47" s="13" t="n"/>
    </row>
    <row r="48">
      <c r="A48" s="4" t="inlineStr">
        <is>
          <t>Error Guessing</t>
        </is>
      </c>
      <c r="B48" s="8" t="inlineStr">
        <is>
          <t>Likely mistakes are tested based on experience, for example double-clicking Place Order or editing an ID in the URL.</t>
        </is>
      </c>
      <c r="C48" s="12" t="n"/>
      <c r="D48" s="12" t="n"/>
      <c r="E48" s="12" t="n"/>
      <c r="F48" s="12" t="n"/>
      <c r="G48" s="13" t="n"/>
    </row>
  </sheetData>
  <mergeCells count="17">
    <mergeCell ref="A32:G32"/>
    <mergeCell ref="A36:G36"/>
    <mergeCell ref="B47:G47"/>
    <mergeCell ref="B48:G48"/>
    <mergeCell ref="A40:G40"/>
    <mergeCell ref="B46:G46"/>
    <mergeCell ref="A31:G31"/>
    <mergeCell ref="A39:G39"/>
    <mergeCell ref="A34:G34"/>
    <mergeCell ref="A35:G35"/>
    <mergeCell ref="B45:G45"/>
    <mergeCell ref="A30:G30"/>
    <mergeCell ref="A38:G38"/>
    <mergeCell ref="B43:G43"/>
    <mergeCell ref="B44:G44"/>
    <mergeCell ref="A33:G33"/>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BUY-ACCT-001</t>
        </is>
      </c>
      <c r="B2" s="8" t="inlineStr">
        <is>
          <t>Account &amp; Security</t>
        </is>
      </c>
      <c r="C2" s="8" t="inlineStr">
        <is>
          <t>Edit profile with valid data</t>
        </is>
      </c>
      <c r="D2" s="8" t="inlineStr">
        <is>
          <t>Use Case Testing</t>
        </is>
      </c>
      <c r="E2" s="8" t="inlineStr">
        <is>
          <t>Medium</t>
        </is>
      </c>
      <c r="F2" s="8" t="inlineStr">
        <is>
          <t>Logged in as Buyer 1. My Profile is open.</t>
        </is>
      </c>
      <c r="G2" s="8" t="inlineStr">
        <is>
          <t>1. Change First Name to the test data and upload the photo.
2. Click Save.
3. Refresh, then log out and log back in.</t>
        </is>
      </c>
      <c r="H2" s="8" t="inlineStr">
        <is>
          <t>First Name: Juan Miguel Jr.
Photo: review_photo.jpg</t>
        </is>
      </c>
      <c r="I2" s="8" t="inlineStr">
        <is>
          <t>A success message is shown. After refresh and re-login the new name and photo are shown in the profile and the header. Email and phone are unchanged.</t>
        </is>
      </c>
      <c r="J2" s="8" t="inlineStr">
        <is>
          <t>A16</t>
        </is>
      </c>
      <c r="K2" s="5" t="inlineStr">
        <is>
          <t xml:space="preserve">Name save 200, photo upload 200, fresh settings contains new name true, rendered image loaded true, fresh login 200; email/phone unchanged true.</t>
        </is>
      </c>
      <c r="L2" s="5" t="inlineStr">
        <is>
          <t xml:space="preserve">Pass</t>
        </is>
      </c>
      <c r="M2" s="5" t="inlineStr">
        <is>
          <t xml:space="preserve">API changes followed by fresh Edge settings load and a new password login. Avatar was uploaded through API, not the crop modal.</t>
        </is>
      </c>
    </row>
    <row r="3" ht="67.75" customHeight="1">
      <c r="A3" s="7" t="inlineStr">
        <is>
          <t>BUY-ACCT-002</t>
        </is>
      </c>
      <c r="B3" s="8" t="inlineStr">
        <is>
          <t>Account &amp; Security</t>
        </is>
      </c>
      <c r="C3" s="8" t="inlineStr">
        <is>
          <t>Profile field validation</t>
        </is>
      </c>
      <c r="D3" s="8" t="inlineStr">
        <is>
          <t>Equivalence Partitioning</t>
        </is>
      </c>
      <c r="E3" s="8" t="inlineStr">
        <is>
          <t>Medium</t>
        </is>
      </c>
      <c r="F3" s="8" t="inlineStr">
        <is>
          <t>Logged in as Buyer 1. My Profile is open.</t>
        </is>
      </c>
      <c r="G3" s="8" t="inlineStr">
        <is>
          <t>1. Enter each value, one per attempt, and save.</t>
        </is>
      </c>
      <c r="H3" s="8" t="inlineStr">
        <is>
          <t>First Name: empty (reject)
First Name: Juan123 (reject)
First Name: J (reject)
Photo: size_5.1MB.jpg (reject)
Photo: renamed_exe.jpg (reject)</t>
        </is>
      </c>
      <c r="I3" s="8" t="inlineStr">
        <is>
          <t>Each is rejected with a field message; the saved profile is unchanged after refresh.</t>
        </is>
      </c>
      <c r="J3" s="8" t="inlineStr">
        <is>
          <t>A16</t>
        </is>
      </c>
      <c r="K3" s="5" t="inlineStr">
        <is>
          <t xml:space="preserve">Profile update with first_name=Juan123 returned 200; saved name Juan123. The workbook requires rejecting digits in the name.</t>
        </is>
      </c>
      <c r="L3" s="5" t="inlineStr">
        <is>
          <t xml:space="preserve">Fail</t>
        </is>
      </c>
      <c r="M3" s="5" t="inlineStr">
        <is>
          <t xml:space="preserve">Tested through the local system API on isolated velure_blackbox; judged against the workbook expected result.</t>
        </is>
      </c>
    </row>
    <row r="4" ht="67.75" customHeight="1">
      <c r="A4" s="7" t="inlineStr">
        <is>
          <t>BUY-ACCT-003</t>
        </is>
      </c>
      <c r="B4" s="8" t="inlineStr">
        <is>
          <t>Account &amp; Security</t>
        </is>
      </c>
      <c r="C4" s="8" t="inlineStr">
        <is>
          <t>Change password with the correct old password</t>
        </is>
      </c>
      <c r="D4" s="8" t="inlineStr">
        <is>
          <t>Use Case Testing</t>
        </is>
      </c>
      <c r="E4" s="8" t="inlineStr">
        <is>
          <t>High</t>
        </is>
      </c>
      <c r="F4" s="8" t="inlineStr">
        <is>
          <t>Logged in as Buyer 1.</t>
        </is>
      </c>
      <c r="G4" s="8" t="inlineStr">
        <is>
          <t>1. Open Change Password and enter the test data.
2. Save.
3. Log out. Log in with the old password.
4. Log in with the new password.</t>
        </is>
      </c>
      <c r="H4" s="8" t="inlineStr">
        <is>
          <t>Old: Mamimili@2026
New: Mamimili@2027
Confirm: Mamimili@2027</t>
        </is>
      </c>
      <c r="I4" s="8" t="inlineStr">
        <is>
          <t>Password changes with a success message. The old password is rejected; the new one works.</t>
        </is>
      </c>
      <c r="J4" s="8" t="inlineStr"/>
      <c r="K4" s="5" t="inlineStr">
        <is>
          <t xml:space="preserve">The signed-in account settings/API expose profile and avatar changes but no current-password change form, email-change form or email OTP verification. Forgot-password reset is a separate workflow and does not satisfy this case.</t>
        </is>
      </c>
      <c r="L4" s="5" t="inlineStr">
        <is>
          <t xml:space="preserve">Fail</t>
        </is>
      </c>
      <c r="M4" s="5" t="inlineStr">
        <is>
          <t xml:space="preserve">Implementation review: backend/routes/api.php:114. Required behavior in this case is absent or differs. This finding is not a claimed browser execution.</t>
        </is>
      </c>
    </row>
    <row r="5" ht="55" customHeight="1">
      <c r="A5" s="7" t="inlineStr">
        <is>
          <t>BUY-ACCT-004</t>
        </is>
      </c>
      <c r="B5" s="8" t="inlineStr">
        <is>
          <t>Account &amp; Security</t>
        </is>
      </c>
      <c r="C5" s="8" t="inlineStr">
        <is>
          <t>Change password with a wrong old password</t>
        </is>
      </c>
      <c r="D5" s="8" t="inlineStr">
        <is>
          <t>Equivalence Partitioning</t>
        </is>
      </c>
      <c r="E5" s="8" t="inlineStr">
        <is>
          <t>High</t>
        </is>
      </c>
      <c r="F5" s="8" t="inlineStr">
        <is>
          <t>Logged in as Buyer 1.</t>
        </is>
      </c>
      <c r="G5" s="8" t="inlineStr">
        <is>
          <t>1. Enter a wrong old password and a valid new one.
2. Save.
3. Log out and log in with Mamimili@2026.</t>
        </is>
      </c>
      <c r="H5" s="8" t="inlineStr">
        <is>
          <t>Old: Wrong@2026
New: Mamimili@2027</t>
        </is>
      </c>
      <c r="I5" s="8" t="inlineStr">
        <is>
          <t>Blocked with 'current password is incorrect'. The original password still works.</t>
        </is>
      </c>
      <c r="J5" s="8" t="inlineStr"/>
      <c r="K5" s="5" t="inlineStr">
        <is>
          <t xml:space="preserve">Could not complete change password with a wrong old password: the Change Password form/action is absent; current/new-password inputs cannot be submitted to this workflow.</t>
        </is>
      </c>
      <c r="L5" s="5" t="inlineStr">
        <is>
          <t xml:space="preserve">Blocked</t>
        </is>
      </c>
      <c r="M5" s="5" t="inlineStr">
        <is>
          <t xml:space="preserve">Blocked prerequisite: BUY-ACCT-003. The required setup/action was unavailable, so the dependent expected result was not verified. Evidence reviewed from the existing runtime/implementation findings; this status review did not rerun the system.</t>
        </is>
      </c>
    </row>
    <row r="6" ht="106" customHeight="1">
      <c r="A6" s="7" t="inlineStr">
        <is>
          <t>BUY-ACCT-005</t>
        </is>
      </c>
      <c r="B6" s="8" t="inlineStr">
        <is>
          <t>Account &amp; Security</t>
        </is>
      </c>
      <c r="C6" s="8" t="inlineStr">
        <is>
          <t>New password breaks the rule</t>
        </is>
      </c>
      <c r="D6" s="8" t="inlineStr">
        <is>
          <t>Decision Table</t>
        </is>
      </c>
      <c r="E6" s="8" t="inlineStr">
        <is>
          <t>High</t>
        </is>
      </c>
      <c r="F6" s="8" t="inlineStr">
        <is>
          <t>Logged in as Buyer 1.</t>
        </is>
      </c>
      <c r="G6" s="8" t="inlineStr">
        <is>
          <t>1. Enter the correct old password and each new password, one per attempt.</t>
        </is>
      </c>
      <c r="H6" s="8" t="inlineStr">
        <is>
          <t>Mami@26 (7 characters)
mamimili@2027 (no uppercase)
MAMIMILI@2027 (no lowercase)
Mamimili@abcd (no number)
Mamimili2027 (no special)
Confirm: Mamimili@2028 (does not match)
New = old: Mamimili@2026</t>
        </is>
      </c>
      <c r="I6" s="8" t="inlineStr">
        <is>
          <t>Each is rejected with the specific rule that failed. The password is unchanged.</t>
        </is>
      </c>
      <c r="J6" s="8" t="inlineStr"/>
      <c r="K6" s="5" t="inlineStr">
        <is>
          <t xml:space="preserve">Could not complete new password breaks the rule: the Change Password form/action is absent; current/new-password inputs cannot be submitted to this workflow.</t>
        </is>
      </c>
      <c r="L6" s="5" t="inlineStr">
        <is>
          <t xml:space="preserve">Blocked</t>
        </is>
      </c>
      <c r="M6" s="5" t="inlineStr">
        <is>
          <t xml:space="preserve">Blocked prerequisite: BUY-ACCT-003. The required setup/action was unavailable, so the dependent expected result was not verified. Evidence reviewed from the existing runtime/implementation findings; this status review did not rerun the system.</t>
        </is>
      </c>
    </row>
    <row r="7" ht="67.75" customHeight="1">
      <c r="A7" s="7" t="inlineStr">
        <is>
          <t>BUY-ACCT-006</t>
        </is>
      </c>
      <c r="B7" s="8" t="inlineStr">
        <is>
          <t>Account &amp; Security</t>
        </is>
      </c>
      <c r="C7" s="8" t="inlineStr">
        <is>
          <t>Change email with verification</t>
        </is>
      </c>
      <c r="D7" s="8" t="inlineStr">
        <is>
          <t>State Transition</t>
        </is>
      </c>
      <c r="E7" s="8" t="inlineStr">
        <is>
          <t>High</t>
        </is>
      </c>
      <c r="F7" s="8" t="inlineStr">
        <is>
          <t>Logged in as Buyer 1.</t>
        </is>
      </c>
      <c r="G7" s="8" t="inlineStr">
        <is>
          <t>1. Change the email to the spare email.
2. Before entering the OTP, log out and log in with the old email.
3. Enter the OTP from the new email.
4. Log out and log in with each email.</t>
        </is>
      </c>
      <c r="H7" s="8" t="inlineStr">
        <is>
          <t>New email: buyer.test01@example.com</t>
        </is>
      </c>
      <c r="I7" s="8" t="inlineStr">
        <is>
          <t>Before verification the old email still logs in and the profile still shows it. After the correct OTP, only the new email logs in; the old one is rejected.</t>
        </is>
      </c>
      <c r="J7" s="8" t="inlineStr"/>
      <c r="K7" s="5" t="inlineStr">
        <is>
          <t xml:space="preserve">The signed-in account settings/API expose profile and avatar changes but no current-password change form, email-change form or email OTP verification. Forgot-password reset is a separate workflow and does not satisfy this case.</t>
        </is>
      </c>
      <c r="L7" s="5" t="inlineStr">
        <is>
          <t xml:space="preserve">Fail</t>
        </is>
      </c>
      <c r="M7" s="5" t="inlineStr">
        <is>
          <t xml:space="preserve">Implementation review: backend/routes/api.php:114. Required behavior in this case is absent or differs. This finding is not a claimed browser execution.</t>
        </is>
      </c>
    </row>
    <row r="8" ht="55" customHeight="1">
      <c r="A8" s="7" t="inlineStr">
        <is>
          <t>BUY-ACCT-007</t>
        </is>
      </c>
      <c r="B8" s="8" t="inlineStr">
        <is>
          <t>Account &amp; Security</t>
        </is>
      </c>
      <c r="C8" s="8" t="inlineStr">
        <is>
          <t>Change email: wrong or expired OTP</t>
        </is>
      </c>
      <c r="D8" s="8" t="inlineStr">
        <is>
          <t>Boundary Value Analysis</t>
        </is>
      </c>
      <c r="E8" s="8" t="inlineStr">
        <is>
          <t>Medium</t>
        </is>
      </c>
      <c r="F8" s="8" t="inlineStr">
        <is>
          <t>Logged in as Buyer 1.</t>
        </is>
      </c>
      <c r="G8" s="8" t="inlineStr">
        <is>
          <t>1. Request the change and enter a wrong OTP.
2. Wait 5 minutes and enter the correct (now expired) OTP.</t>
        </is>
      </c>
      <c r="H8" s="8" t="inlineStr">
        <is>
          <t>Wrong OTP: 000000</t>
        </is>
      </c>
      <c r="I8" s="8" t="inlineStr">
        <is>
          <t>Both are rejected. The email is not changed.</t>
        </is>
      </c>
      <c r="J8" s="8" t="inlineStr"/>
      <c r="K8" s="5" t="inlineStr">
        <is>
          <t xml:space="preserve">Could not complete change email: wrong or expired otp: the email-change/OTP workflow is unavailable, so an email-change request and OTP cannot be created for the negative/duplicate tests.</t>
        </is>
      </c>
      <c r="L8" s="5" t="inlineStr">
        <is>
          <t xml:space="preserve">Blocked</t>
        </is>
      </c>
      <c r="M8" s="5" t="inlineStr">
        <is>
          <t xml:space="preserve">Blocked prerequisite: BUY-ACCT-006. The required setup/action was unavailable, so the dependent expected result was not verified. Evidence reviewed from the existing runtime/implementation findings; this status review did not rerun the system.</t>
        </is>
      </c>
    </row>
    <row r="9" ht="42.25" customHeight="1">
      <c r="A9" s="7" t="inlineStr">
        <is>
          <t>BUY-ACCT-008</t>
        </is>
      </c>
      <c r="B9" s="8" t="inlineStr">
        <is>
          <t>Account &amp; Security</t>
        </is>
      </c>
      <c r="C9" s="8" t="inlineStr">
        <is>
          <t>Change email to one already used</t>
        </is>
      </c>
      <c r="D9" s="8" t="inlineStr">
        <is>
          <t>Equivalence Partitioning</t>
        </is>
      </c>
      <c r="E9" s="8" t="inlineStr">
        <is>
          <t>Medium</t>
        </is>
      </c>
      <c r="F9" s="8" t="inlineStr">
        <is>
          <t>Logged in as Buyer 1.</t>
        </is>
      </c>
      <c r="G9" s="8" t="inlineStr">
        <is>
          <t>1. Change the email to each value.</t>
        </is>
      </c>
      <c r="H9" s="8" t="inlineStr">
        <is>
          <t>anamarie.reyes@example.com
MARIACLARA.SANTOS@example.com (seller, different case)</t>
        </is>
      </c>
      <c r="I9" s="8" t="inlineStr">
        <is>
          <t>Both are blocked with 'email already in use' and no OTP is sent.</t>
        </is>
      </c>
      <c r="J9" s="8" t="inlineStr"/>
      <c r="K9" s="5" t="inlineStr">
        <is>
          <t xml:space="preserve">Could not complete change email to one already used: the email-change/OTP workflow is unavailable, so an email-change request and OTP cannot be created for the negative/duplicate tests.</t>
        </is>
      </c>
      <c r="L9" s="5" t="inlineStr">
        <is>
          <t xml:space="preserve">Blocked</t>
        </is>
      </c>
      <c r="M9" s="5" t="inlineStr">
        <is>
          <t xml:space="preserve">Blocked prerequisite: BUY-ACCT-006. The required setup/action was unavailable, so the dependent expected result was not verified. Evidence reviewed from the existing runtime/implementation findings; this status review did not rerun the system.</t>
        </is>
      </c>
    </row>
    <row r="10" ht="42.25" customHeight="1">
      <c r="A10" s="7" t="inlineStr">
        <is>
          <t>BUY-ACCT-009</t>
        </is>
      </c>
      <c r="B10" s="8" t="inlineStr">
        <is>
          <t>Account &amp; Security</t>
        </is>
      </c>
      <c r="C10" s="8" t="inlineStr">
        <is>
          <t>Change phone with verification and format</t>
        </is>
      </c>
      <c r="D10" s="8" t="inlineStr">
        <is>
          <t>State Transition</t>
        </is>
      </c>
      <c r="E10" s="8" t="inlineStr">
        <is>
          <t>Medium</t>
        </is>
      </c>
      <c r="F10" s="8" t="inlineStr">
        <is>
          <t>Logged in as Buyer 1.</t>
        </is>
      </c>
      <c r="G10" s="8" t="inlineStr">
        <is>
          <t>1. Change the phone to each value; complete the OTP for the valid one.</t>
        </is>
      </c>
      <c r="H10" s="8" t="inlineStr">
        <is>
          <t>0917123 (reject)
09173456789 (Buyer 2's, reject)
09170000001 (accept after OTP)</t>
        </is>
      </c>
      <c r="I10" s="8" t="inlineStr">
        <is>
          <t>Invalid and duplicate numbers are rejected without an OTP. The valid number is saved only after verification.</t>
        </is>
      </c>
      <c r="J10" s="8" t="inlineStr"/>
      <c r="K10" s="5" t="inlineStr">
        <is>
          <t xml:space="preserve">Profile phone changes are saved directly by updateProfile. There is no phone OTP request/confirmation step, so the required verified phone-change workflow is missing.</t>
        </is>
      </c>
      <c r="L10" s="5" t="inlineStr">
        <is>
          <t xml:space="preserve">Fail</t>
        </is>
      </c>
      <c r="M10" s="5" t="inlineStr">
        <is>
          <t xml:space="preserve">Implementation review: backend/app/Http/Controllers/Api/V1/AuthController.php:256. Required behavior in this case is absent or differs. This finding is not a claimed browser execution.</t>
        </is>
      </c>
    </row>
  </sheetData>
  <autoFilter ref="A1:M10"/>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BUY-ADDR-001</t>
        </is>
      </c>
      <c r="B2" s="8" t="inlineStr">
        <is>
          <t>Address Book</t>
        </is>
      </c>
      <c r="C2" s="8" t="inlineStr">
        <is>
          <t>Add an address with valid data</t>
        </is>
      </c>
      <c r="D2" s="8" t="inlineStr">
        <is>
          <t>Use Case Testing</t>
        </is>
      </c>
      <c r="E2" s="8" t="inlineStr">
        <is>
          <t>High</t>
        </is>
      </c>
      <c r="F2" s="8" t="inlineStr">
        <is>
          <t>Logged in as Buyer 1. Address Book is open with ADDR-1 only.</t>
        </is>
      </c>
      <c r="G2" s="8" t="inlineStr">
        <is>
          <t>1. Click Add Address.
2. Select Region, Province, City and Barangay in order.
3. Fill in street, recipient and phone.
4. Save and refresh.</t>
        </is>
      </c>
      <c r="H2" s="8" t="inlineStr">
        <is>
          <t>ADDR-2 (Makati office)</t>
        </is>
      </c>
      <c r="I2" s="8" t="inlineStr">
        <is>
          <t>ADDR-2 is listed with exactly the entered values and is not default. ADDR-1 is still default.</t>
        </is>
      </c>
      <c r="J2" s="8" t="inlineStr">
        <is>
          <t>A30</t>
        </is>
      </c>
      <c r="K2" s="5" t="inlineStr">
        <is>
          <t xml:space="preserve">Added office address: HTTP 201; {"data":{"full_name":"Juan Miguel Dela Cruz","phone":"09171234567","address":"14F Pacific Tower","floor_unit":null,"province":"Metro Manila","district":"Quezon City","ward":"Central","province_code":"130000000","city_code":"137404000","barangay_code":"137404020","label":"office","is_default":false,"user_id":2,"updated_at":"2026-10-17T18:3; retrieved after save with office label, exact street and non-default flag. Original home address remained default.</t>
        </is>
      </c>
      <c r="L2" s="5" t="inlineStr">
        <is>
          <t xml:space="preserve">Pass</t>
        </is>
      </c>
      <c r="M2" s="5" t="inlineStr">
        <is>
          <t xml:space="preserve">Used the seeded NCR PSGC location with the office street/label; storage/persistence tested through API.</t>
        </is>
      </c>
    </row>
    <row r="3" ht="42.25" customHeight="1">
      <c r="A3" s="7" t="inlineStr">
        <is>
          <t>BUY-ADDR-002</t>
        </is>
      </c>
      <c r="B3" s="8" t="inlineStr">
        <is>
          <t>Address Book</t>
        </is>
      </c>
      <c r="C3" s="8" t="inlineStr">
        <is>
          <t>Region → city → barangay cascade</t>
        </is>
      </c>
      <c r="D3" s="8" t="inlineStr">
        <is>
          <t>Equivalence Partitioning</t>
        </is>
      </c>
      <c r="E3" s="8" t="inlineStr">
        <is>
          <t>High</t>
        </is>
      </c>
      <c r="F3" s="8" t="inlineStr">
        <is>
          <t>Logged in as Buyer 1.</t>
        </is>
      </c>
      <c r="G3" s="8" t="inlineStr">
        <is>
          <t>1. Select NCR; open the City list.
2. Select Makati; open the Barangay list.
3. Change Region to Region VII.</t>
        </is>
      </c>
      <c r="H3" s="8" t="inlineStr"/>
      <c r="I3" s="8" t="inlineStr">
        <is>
          <t>Each list shows only places under the one above (no Cebu cities under NCR). Changing Region clears City and Barangay.</t>
        </is>
      </c>
      <c r="J3" s="8" t="inlineStr"/>
      <c r="K3" s="5" t="inlineStr">
        <is>
          <t xml:space="preserve">The address editor starts with Province and has no Region selector. Province/City/Barangay cascading exists, but the exact Region-change workflow specified by this case is absent.</t>
        </is>
      </c>
      <c r="L3" s="5" t="inlineStr">
        <is>
          <t xml:space="preserve">Fail</t>
        </is>
      </c>
      <c r="M3" s="5" t="inlineStr">
        <is>
          <t xml:space="preserve">Implementation review: frontend/src/pages/SettingsPage.tsx:506. Required behavior in this case is absent or differs. This finding is not a claimed browser execution.</t>
        </is>
      </c>
    </row>
    <row r="4" ht="29.5" customHeight="1">
      <c r="A4" s="7" t="inlineStr">
        <is>
          <t>BUY-ADDR-003</t>
        </is>
      </c>
      <c r="B4" s="8" t="inlineStr">
        <is>
          <t>Address Book</t>
        </is>
      </c>
      <c r="C4" s="8" t="inlineStr">
        <is>
          <t>Each required field left blank</t>
        </is>
      </c>
      <c r="D4" s="8" t="inlineStr">
        <is>
          <t>Equivalence Partitioning</t>
        </is>
      </c>
      <c r="E4" s="8" t="inlineStr">
        <is>
          <t>High</t>
        </is>
      </c>
      <c r="F4" s="8" t="inlineStr">
        <is>
          <t>Logged in as Buyer 1.</t>
        </is>
      </c>
      <c r="G4" s="8" t="inlineStr">
        <is>
          <t>1. Fill in all fields, clear one and save; repeat for each.</t>
        </is>
      </c>
      <c r="H4" s="8" t="inlineStr">
        <is>
          <t>Clear in turn: Recipient, Phone, Region, City, Barangay, Street</t>
        </is>
      </c>
      <c r="I4" s="8" t="inlineStr">
        <is>
          <t>Each attempt is blocked with a message on the blank field. No address is added.</t>
        </is>
      </c>
      <c r="J4" s="8" t="inlineStr"/>
      <c r="K4" s="5" t="inlineStr">
        <is>
          <t xml:space="preserve">Required recipient, phone, province, city, barangay and street blank one at a time: full_name:422, phone:422, province:422, district:422, ward:422, address:422. No address was added.</t>
        </is>
      </c>
      <c r="L4" s="5" t="inlineStr">
        <is>
          <t xml:space="preserve">Pass</t>
        </is>
      </c>
      <c r="M4" s="5" t="inlineStr">
        <is>
          <t xml:space="preserve">API validation of the actual Province/City/Barangay address form; this form labels the top level Province rather than Region.</t>
        </is>
      </c>
    </row>
    <row r="5" ht="55" customHeight="1">
      <c r="A5" s="7" t="inlineStr">
        <is>
          <t>BUY-ADDR-004</t>
        </is>
      </c>
      <c r="B5" s="8" t="inlineStr">
        <is>
          <t>Address Book</t>
        </is>
      </c>
      <c r="C5" s="8" t="inlineStr">
        <is>
          <t>Phone number format</t>
        </is>
      </c>
      <c r="D5" s="8" t="inlineStr">
        <is>
          <t>Equivalence Partitioning</t>
        </is>
      </c>
      <c r="E5" s="8" t="inlineStr">
        <is>
          <t>Medium</t>
        </is>
      </c>
      <c r="F5" s="8" t="inlineStr">
        <is>
          <t>Logged in as Buyer 1.</t>
        </is>
      </c>
      <c r="G5" s="8" t="inlineStr">
        <is>
          <t>1. Enter each phone number and save.</t>
        </is>
      </c>
      <c r="H5" s="8" t="inlineStr">
        <is>
          <t>0917123 (reject)
091712345678 (reject)
09171234567 (accept)
+639171234567 (accept)</t>
        </is>
      </c>
      <c r="I5" s="8" t="inlineStr">
        <is>
          <t>Only the two valid formats save.</t>
        </is>
      </c>
      <c r="J5" s="8" t="inlineStr"/>
      <c r="K5" s="5" t="inlineStr">
        <is>
          <t xml:space="preserve">Address accepted phone "abc" (HTTP 201). Invalid phone should be rejected.</t>
        </is>
      </c>
      <c r="L5" s="5" t="inlineStr">
        <is>
          <t xml:space="preserve">Fail</t>
        </is>
      </c>
      <c r="M5" s="5" t="inlineStr">
        <is>
          <t xml:space="preserve">API test on isolated velure_blackbox database. UI steps not executed.</t>
        </is>
      </c>
    </row>
    <row r="6" ht="29.5" customHeight="1">
      <c r="A6" s="7" t="inlineStr">
        <is>
          <t>BUY-ADDR-005</t>
        </is>
      </c>
      <c r="B6" s="8" t="inlineStr">
        <is>
          <t>Address Book</t>
        </is>
      </c>
      <c r="C6" s="8" t="inlineStr">
        <is>
          <t>Address book limit</t>
        </is>
      </c>
      <c r="D6" s="8" t="inlineStr">
        <is>
          <t>Boundary Value Analysis</t>
        </is>
      </c>
      <c r="E6" s="8" t="inlineStr">
        <is>
          <t>Low</t>
        </is>
      </c>
      <c r="F6" s="8" t="inlineStr">
        <is>
          <t>Logged in as Buyer 1. 9 addresses exist.</t>
        </is>
      </c>
      <c r="G6" s="8" t="inlineStr">
        <is>
          <t>1. Add a 10th.
2. Try an 11th.</t>
        </is>
      </c>
      <c r="H6" s="8" t="inlineStr"/>
      <c r="I6" s="8" t="inlineStr">
        <is>
          <t>The 10th saves. The 11th is blocked with a limit message.</t>
        </is>
      </c>
      <c r="J6" s="8" t="inlineStr">
        <is>
          <t>A30</t>
        </is>
      </c>
      <c r="K6" s="5" t="inlineStr">
        <is>
          <t xml:space="preserve">With one existing address, six add attempts returned 201, 201, 201, 201, 422, 422. The API enforces a maximum of 5 addresses, while the workbook requires the 10th to save and only the 11th to fail.</t>
        </is>
      </c>
      <c r="L6" s="5" t="inlineStr">
        <is>
          <t xml:space="preserve">Fail</t>
        </is>
      </c>
      <c r="M6" s="5" t="inlineStr">
        <is>
          <t xml:space="preserve">Tested through the local system API on isolated velure_blackbox; judged against the workbook expected result.</t>
        </is>
      </c>
    </row>
    <row r="7" ht="29.5" customHeight="1">
      <c r="A7" s="7" t="inlineStr">
        <is>
          <t>BUY-ADDR-006</t>
        </is>
      </c>
      <c r="B7" s="8" t="inlineStr">
        <is>
          <t>Address Book</t>
        </is>
      </c>
      <c r="C7" s="8" t="inlineStr">
        <is>
          <t>Set a different default address</t>
        </is>
      </c>
      <c r="D7" s="8" t="inlineStr">
        <is>
          <t>State Transition</t>
        </is>
      </c>
      <c r="E7" s="8" t="inlineStr">
        <is>
          <t>Medium</t>
        </is>
      </c>
      <c r="F7" s="8" t="inlineStr">
        <is>
          <t>Logged in as Buyer 1.</t>
        </is>
      </c>
      <c r="G7" s="8" t="inlineStr">
        <is>
          <t>1. Set ADDR-2 as default.
2. Open checkout.</t>
        </is>
      </c>
      <c r="H7" s="8" t="inlineStr">
        <is>
          <t>ADDR-2</t>
        </is>
      </c>
      <c r="I7" s="8" t="inlineStr">
        <is>
          <t>Only ADDR-2 shows Default and checkout pre-selects it.</t>
        </is>
      </c>
      <c r="J7" s="8" t="inlineStr">
        <is>
          <t>A30</t>
        </is>
      </c>
      <c r="K7" s="5" t="inlineStr">
        <is>
          <t xml:space="preserve">Set office address 111 as default; list reports 1 default address, id 111.</t>
        </is>
      </c>
      <c r="L7" s="5" t="inlineStr">
        <is>
          <t xml:space="preserve">Pass</t>
        </is>
      </c>
      <c r="M7" s="5" t="inlineStr">
        <is>
          <t xml:space="preserve">API default-address invariant tested; checkout UI preselection is checked by its saved default address lookup.</t>
        </is>
      </c>
    </row>
    <row r="8" ht="42.25" customHeight="1">
      <c r="A8" s="7" t="inlineStr">
        <is>
          <t>BUY-ADDR-007</t>
        </is>
      </c>
      <c r="B8" s="8" t="inlineStr">
        <is>
          <t>Address Book</t>
        </is>
      </c>
      <c r="C8" s="8" t="inlineStr">
        <is>
          <t>Delete the default address</t>
        </is>
      </c>
      <c r="D8" s="8" t="inlineStr">
        <is>
          <t>State Transition</t>
        </is>
      </c>
      <c r="E8" s="8" t="inlineStr">
        <is>
          <t>High</t>
        </is>
      </c>
      <c r="F8" s="8" t="inlineStr">
        <is>
          <t>Logged in as Buyer 1. ADDR-1 is default; ADDR-2 exists.</t>
        </is>
      </c>
      <c r="G8" s="8" t="inlineStr">
        <is>
          <t>1. Try to delete ADDR-1.
2. Set ADDR-2 as default, then delete ADDR-1.</t>
        </is>
      </c>
      <c r="H8" s="8" t="inlineStr"/>
      <c r="I8" s="8" t="inlineStr">
        <is>
          <t>The first attempt is blocked with a message to choose another default first. The second succeeds. There is always exactly one default.</t>
        </is>
      </c>
      <c r="J8" s="8" t="inlineStr">
        <is>
          <t>A30</t>
        </is>
      </c>
      <c r="K8" s="5" t="inlineStr">
        <is>
          <t xml:space="preserve">Deleting the default address returned 204; remaining default count 0. The required choose-another-default-first protection was absent.</t>
        </is>
      </c>
      <c r="L8" s="5" t="inlineStr">
        <is>
          <t xml:space="preserve">Fail</t>
        </is>
      </c>
      <c r="M8" s="5" t="inlineStr">
        <is>
          <t xml:space="preserve">Tested through the local system API on isolated velure_blackbox; judged against the workbook expected result.</t>
        </is>
      </c>
    </row>
    <row r="9" ht="55" customHeight="1">
      <c r="A9" s="7" t="inlineStr">
        <is>
          <t>BUY-ADDR-008</t>
        </is>
      </c>
      <c r="B9" s="8" t="inlineStr">
        <is>
          <t>Address Book</t>
        </is>
      </c>
      <c r="C9" s="8" t="inlineStr">
        <is>
          <t>Edit or delete an address used by an active order</t>
        </is>
      </c>
      <c r="D9" s="8" t="inlineStr">
        <is>
          <t>Error Guessing</t>
        </is>
      </c>
      <c r="E9" s="8" t="inlineStr">
        <is>
          <t>High</t>
        </is>
      </c>
      <c r="F9" s="8" t="inlineStr">
        <is>
          <t>Logged in as Buyer 1. A To Ship order uses ADDR-2.</t>
        </is>
      </c>
      <c r="G9" s="8" t="inlineStr">
        <is>
          <t>1. Change ADDR-2's street, then delete ADDR-2.
2. Open the order as Buyer 1 and Seller 1, and print the waybill.</t>
        </is>
      </c>
      <c r="H9" s="8" t="inlineStr">
        <is>
          <t>Street: 14F Pacific Tower</t>
        </is>
      </c>
      <c r="I9" s="8" t="inlineStr">
        <is>
          <t>The order, the seller's view and the waybill still show the original ADDR-2 exactly.</t>
        </is>
      </c>
      <c r="J9" s="8" t="inlineStr">
        <is>
          <t>A30</t>
        </is>
      </c>
      <c r="K9" s="5" t="inlineStr">
        <is>
          <t xml:space="preserve">Edited/deleted saved address 116; buyer order address Original office test address; seller Original office test address; waybill retains original true.</t>
        </is>
      </c>
      <c r="L9" s="5" t="inlineStr">
        <is>
          <t xml:space="preserve">Pass</t>
        </is>
      </c>
      <c r="M9" s="5" t="inlineStr">
        <is>
          <t xml:space="preserve">A temporary saved office address was used to avoid deleting the shared original address fixture.</t>
        </is>
      </c>
    </row>
    <row r="10" ht="29.5" customHeight="1">
      <c r="A10" s="7" t="inlineStr">
        <is>
          <t>BUY-ADDR-009</t>
        </is>
      </c>
      <c r="B10" s="8" t="inlineStr">
        <is>
          <t>Address Book</t>
        </is>
      </c>
      <c r="C10" s="8" t="inlineStr">
        <is>
          <t>Cannot open another buyer's address</t>
        </is>
      </c>
      <c r="D10" s="8" t="inlineStr">
        <is>
          <t>Error Guessing</t>
        </is>
      </c>
      <c r="E10" s="8" t="inlineStr">
        <is>
          <t>High</t>
        </is>
      </c>
      <c r="F10" s="8" t="inlineStr">
        <is>
          <t>Logged in as Buyer 1.</t>
        </is>
      </c>
      <c r="G10" s="8" t="inlineStr">
        <is>
          <t>1. Open Edit on ADDR-1 and change the address ID in the URL to ADDR-3's (Buyer 2).</t>
        </is>
      </c>
      <c r="H10" s="8" t="inlineStr"/>
      <c r="I10" s="8" t="inlineStr">
        <is>
          <t>Access is denied. No part of ADDR-3 is shown.</t>
        </is>
      </c>
      <c r="J10" s="8" t="inlineStr">
        <is>
          <t>A22</t>
        </is>
      </c>
      <c r="K10" s="5" t="inlineStr">
        <is>
          <t xml:space="preserve">Buyer 1 editing Buyer 2 address: HTTP 403; deleting: HTTP 403.</t>
        </is>
      </c>
      <c r="L10" s="5" t="inlineStr">
        <is>
          <t xml:space="preserve">Pass</t>
        </is>
      </c>
      <c r="M10" s="5" t="inlineStr">
        <is>
          <t xml:space="preserve">API test on isolated velure_blackbox database. UI steps not executed.</t>
        </is>
      </c>
    </row>
  </sheetData>
  <autoFilter ref="A1:M10"/>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BUY-SRCH-001</t>
        </is>
      </c>
      <c r="B2" s="8" t="inlineStr">
        <is>
          <t>Browse, Search &amp; Filter</t>
        </is>
      </c>
      <c r="C2" s="8" t="inlineStr">
        <is>
          <t>Browse a platform category</t>
        </is>
      </c>
      <c r="D2" s="8" t="inlineStr">
        <is>
          <t>Use Case Testing</t>
        </is>
      </c>
      <c r="E2" s="8" t="inlineStr">
        <is>
          <t>Medium</t>
        </is>
      </c>
      <c r="F2" s="8" t="inlineStr">
        <is>
          <t>Logged in as Buyer 1.</t>
        </is>
      </c>
      <c r="G2" s="8" t="inlineStr">
        <is>
          <t>1. Open the platform category Home &amp; Living.</t>
        </is>
      </c>
      <c r="H2" s="8" t="inlineStr"/>
      <c r="I2" s="8" t="inlineStr">
        <is>
          <t>Every Active product in Home &amp; Living is listed, including P-02. No product from other categories appears.</t>
        </is>
      </c>
      <c r="J2" s="8" t="inlineStr"/>
      <c r="K2" s="5" t="inlineStr">
        <is>
          <t xml:space="preserve">Home Decor category returned product IDs 2,3; P-02 included, bag P-01 excluded.</t>
        </is>
      </c>
      <c r="L2" s="5" t="inlineStr">
        <is>
          <t xml:space="preserve">Pass</t>
        </is>
      </c>
      <c r="M2" s="5" t="inlineStr">
        <is>
          <t xml:space="preserve">Actual platform leaf category used; workbook Home &amp; Living parent contains this leaf.</t>
        </is>
      </c>
    </row>
    <row r="3" ht="29.5" customHeight="1">
      <c r="A3" s="7" t="inlineStr">
        <is>
          <t>BUY-SRCH-002</t>
        </is>
      </c>
      <c r="B3" s="8" t="inlineStr">
        <is>
          <t>Browse, Search &amp; Filter</t>
        </is>
      </c>
      <c r="C3" s="8" t="inlineStr">
        <is>
          <t>Store page with store categories</t>
        </is>
      </c>
      <c r="D3" s="8" t="inlineStr">
        <is>
          <t>Use Case Testing</t>
        </is>
      </c>
      <c r="E3" s="8" t="inlineStr">
        <is>
          <t>Medium</t>
        </is>
      </c>
      <c r="F3" s="8" t="inlineStr">
        <is>
          <t>Logged in as Buyer 1.</t>
        </is>
      </c>
      <c r="G3" s="8" t="inlineStr">
        <is>
          <t>1. Open Seller 1's store page.
2. Click Home Decor, then Lamps.</t>
        </is>
      </c>
      <c r="H3" s="8" t="inlineStr"/>
      <c r="I3" s="8" t="inlineStr">
        <is>
          <t>Store categories match CAT-1 to CAT-5. Lamps shows P-03 only.</t>
        </is>
      </c>
      <c r="J3" s="8" t="inlineStr"/>
      <c r="K3" s="5" t="inlineStr">
        <is>
          <t xml:space="preserve">Could not complete store page with store categories: CAT-1 to CAT-5 and the store Lamps category cannot be created; the category-browsing fixture does not exist.</t>
        </is>
      </c>
      <c r="L3" s="5" t="inlineStr">
        <is>
          <t xml:space="preserve">Blocked</t>
        </is>
      </c>
      <c r="M3"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4" ht="55" customHeight="1">
      <c r="A4" s="7" t="inlineStr">
        <is>
          <t>BUY-SRCH-003</t>
        </is>
      </c>
      <c r="B4" s="8" t="inlineStr">
        <is>
          <t>Browse, Search &amp; Filter</t>
        </is>
      </c>
      <c r="C4" s="8" t="inlineStr">
        <is>
          <t>Search: exact and partial match</t>
        </is>
      </c>
      <c r="D4" s="8" t="inlineStr">
        <is>
          <t>Equivalence Partitioning</t>
        </is>
      </c>
      <c r="E4" s="8" t="inlineStr">
        <is>
          <t>High</t>
        </is>
      </c>
      <c r="F4" s="8" t="inlineStr">
        <is>
          <t>Logged in as Buyer 1.</t>
        </is>
      </c>
      <c r="G4" s="8" t="inlineStr">
        <is>
          <t>1. Search each term.</t>
        </is>
      </c>
      <c r="H4" s="8" t="inlineStr">
        <is>
          <t>Rattan Fruit Basket
rattan
RATTAN
'  rattan  '</t>
        </is>
      </c>
      <c r="I4" s="8" t="inlineStr">
        <is>
          <t>P-02 appears for all four terms (case and outer spaces do not matter).</t>
        </is>
      </c>
      <c r="J4" s="8" t="inlineStr"/>
      <c r="K4" s="5" t="inlineStr">
        <is>
          <t xml:space="preserve">[{"q":"Rattan Fruit Basket","status":200,"hasP2":true},{"q":"rattan","status":200,"hasP2":true},{"q":"RATTAN","status":200,"hasP2":true},{"q":"  rattan  ","status":200,"hasP2":true}]</t>
        </is>
      </c>
      <c r="L4" s="5" t="inlineStr">
        <is>
          <t xml:space="preserve">Pass</t>
        </is>
      </c>
      <c r="M4" s="5" t="inlineStr">
        <is>
          <t xml:space="preserve">Tested through the local system API on isolated velure_blackbox; judged against the workbook expected result.</t>
        </is>
      </c>
    </row>
    <row r="5" ht="42.25" customHeight="1">
      <c r="A5" s="7" t="inlineStr">
        <is>
          <t>BUY-SRCH-004</t>
        </is>
      </c>
      <c r="B5" s="8" t="inlineStr">
        <is>
          <t>Browse, Search &amp; Filter</t>
        </is>
      </c>
      <c r="C5" s="8" t="inlineStr">
        <is>
          <t>Search: typo and no results</t>
        </is>
      </c>
      <c r="D5" s="8" t="inlineStr">
        <is>
          <t>Equivalence Partitioning</t>
        </is>
      </c>
      <c r="E5" s="8" t="inlineStr">
        <is>
          <t>Medium</t>
        </is>
      </c>
      <c r="F5" s="8" t="inlineStr">
        <is>
          <t>Logged in as Buyer 1.</t>
        </is>
      </c>
      <c r="G5" s="8" t="inlineStr">
        <is>
          <t>1. Search each term.</t>
        </is>
      </c>
      <c r="H5" s="8" t="inlineStr">
        <is>
          <t>Ratan baskit
zzqxw</t>
        </is>
      </c>
      <c r="I5" s="8" t="inlineStr">
        <is>
          <t>The typo returns P-02 or a 'Did you mean rattan basket?' suggestion. zzqxw shows a clear 'no results' state, not an error.</t>
        </is>
      </c>
      <c r="J5" s="8" t="inlineStr"/>
      <c r="K5" s="5" t="inlineStr">
        <is>
          <t xml:space="preserve">Typo IDs 2, correction {"corrected":"rattan basket"}; unknown term HTTP 200, results 0.</t>
        </is>
      </c>
      <c r="L5" s="5" t="inlineStr">
        <is>
          <t xml:space="preserve">Pass</t>
        </is>
      </c>
      <c r="M5" s="5" t="inlineStr">
        <is>
          <t xml:space="preserve">Tested through the local system API on isolated velure_blackbox; judged against the workbook expected result.</t>
        </is>
      </c>
    </row>
    <row r="6" ht="55" customHeight="1">
      <c r="A6" s="7" t="inlineStr">
        <is>
          <t>BUY-SRCH-005</t>
        </is>
      </c>
      <c r="B6" s="8" t="inlineStr">
        <is>
          <t>Browse, Search &amp; Filter</t>
        </is>
      </c>
      <c r="C6" s="8" t="inlineStr">
        <is>
          <t>Search: special characters and injection</t>
        </is>
      </c>
      <c r="D6" s="8" t="inlineStr">
        <is>
          <t>Error Guessing</t>
        </is>
      </c>
      <c r="E6" s="8" t="inlineStr">
        <is>
          <t>High</t>
        </is>
      </c>
      <c r="F6" s="8" t="inlineStr">
        <is>
          <t>Logged in as Buyer 1.</t>
        </is>
      </c>
      <c r="G6" s="8" t="inlineStr">
        <is>
          <t>1. Search each string.
2. Check the page and browser console.</t>
        </is>
      </c>
      <c r="H6" s="8" t="inlineStr">
        <is>
          <t>%
' OR '1'='1
&lt;script&gt;alert(1)&lt;/script&gt;
"&gt;&lt;img src=x onerror=alert(1)&gt;</t>
        </is>
      </c>
      <c r="I6" s="8" t="inlineStr">
        <is>
          <t>Each returns no results or literal matches. No error page, no pop-up, no list of all products from the SQL string, and the console shows no script run.</t>
        </is>
      </c>
      <c r="J6" s="8" t="inlineStr"/>
      <c r="K6" s="5" t="inlineStr">
        <is>
          <t xml:space="preserve">Special-character/SQL/HTML search HTTP statuses 200, 200, 200, 200; browser alert dialogs 0; no error page or injected popup appeared.</t>
        </is>
      </c>
      <c r="L6" s="5" t="inlineStr">
        <is>
          <t xml:space="preserve">Pass</t>
        </is>
      </c>
      <c r="M6" s="5" t="inlineStr">
        <is>
          <t xml:space="preserve">API uses q (the actual app search parameter); Edge browser render inspected for each term.</t>
        </is>
      </c>
    </row>
    <row r="7" ht="29.5" customHeight="1">
      <c r="A7" s="7" t="inlineStr">
        <is>
          <t>BUY-SRCH-006</t>
        </is>
      </c>
      <c r="B7" s="8" t="inlineStr">
        <is>
          <t>Browse, Search &amp; Filter</t>
        </is>
      </c>
      <c r="C7" s="8" t="inlineStr">
        <is>
          <t>Empty search</t>
        </is>
      </c>
      <c r="D7" s="8" t="inlineStr">
        <is>
          <t>Error Guessing</t>
        </is>
      </c>
      <c r="E7" s="8" t="inlineStr">
        <is>
          <t>Low</t>
        </is>
      </c>
      <c r="F7" s="8" t="inlineStr">
        <is>
          <t>Logged in as Buyer 1.</t>
        </is>
      </c>
      <c r="G7" s="8" t="inlineStr">
        <is>
          <t>1. Click Search with an empty box and with spaces only.</t>
        </is>
      </c>
      <c r="H7" s="8" t="inlineStr"/>
      <c r="I7" s="8" t="inlineStr">
        <is>
          <t>The search is not submitted (or the normal listing is shown). No error page.</t>
        </is>
      </c>
      <c r="J7" s="8" t="inlineStr"/>
      <c r="K7" s="5" t="inlineStr">
        <is>
          <t xml:space="preserve">Whitespace-only q returned HTTP 200, normal result count 7; no query error.</t>
        </is>
      </c>
      <c r="L7" s="5" t="inlineStr">
        <is>
          <t xml:space="preserve">Pass</t>
        </is>
      </c>
      <c r="M7" s="5" t="inlineStr">
        <is>
          <t xml:space="preserve">Tested through the local system API on isolated velure_blackbox; judged against the workbook expected result.</t>
        </is>
      </c>
    </row>
    <row r="8" ht="67.75" customHeight="1">
      <c r="A8" s="7" t="inlineStr">
        <is>
          <t>BUY-SRCH-007</t>
        </is>
      </c>
      <c r="B8" s="8" t="inlineStr">
        <is>
          <t>Browse, Search &amp; Filter</t>
        </is>
      </c>
      <c r="C8" s="8" t="inlineStr">
        <is>
          <t>Price range filter</t>
        </is>
      </c>
      <c r="D8" s="8" t="inlineStr">
        <is>
          <t>Boundary Value Analysis</t>
        </is>
      </c>
      <c r="E8" s="8" t="inlineStr">
        <is>
          <t>High</t>
        </is>
      </c>
      <c r="F8" s="8" t="inlineStr">
        <is>
          <t>Logged in as Buyer 1.</t>
        </is>
      </c>
      <c r="G8" s="8" t="inlineStr">
        <is>
          <t>1. Apply each price range.</t>
        </is>
      </c>
      <c r="H8" s="8" t="inlineStr">
        <is>
          <t>₱300 – ₱450 (P-02 included)
₱451 – ₱1,000 (P-02 excluded)
₱450 – ₱450 (P-02 only)
Min ₱1,000, Max ₱100
Min -1</t>
        </is>
      </c>
      <c r="I8" s="8" t="inlineStr">
        <is>
          <t>Range ends are inclusive. Min greater than Max and negative values are rejected with a message and the results are not filtered by them.</t>
        </is>
      </c>
      <c r="J8" s="8" t="inlineStr"/>
      <c r="K8" s="5" t="inlineStr">
        <is>
          <t xml:space="preserve">Inverted price range min=1000/max=100 returned HTTP 200 and 0 rows rather than a validation message. Invalid ranges are silently applied.</t>
        </is>
      </c>
      <c r="L8" s="5" t="inlineStr">
        <is>
          <t xml:space="preserve">Fail</t>
        </is>
      </c>
      <c r="M8" s="5" t="inlineStr">
        <is>
          <t xml:space="preserve">Tested through the local system API on isolated velure_blackbox; judged against the workbook expected result.</t>
        </is>
      </c>
    </row>
    <row r="9" ht="42.25" customHeight="1">
      <c r="A9" s="7" t="inlineStr">
        <is>
          <t>BUY-SRCH-008</t>
        </is>
      </c>
      <c r="B9" s="8" t="inlineStr">
        <is>
          <t>Browse, Search &amp; Filter</t>
        </is>
      </c>
      <c r="C9" s="8" t="inlineStr">
        <is>
          <t>Combined filters</t>
        </is>
      </c>
      <c r="D9" s="8" t="inlineStr">
        <is>
          <t>Decision Table</t>
        </is>
      </c>
      <c r="E9" s="8" t="inlineStr">
        <is>
          <t>Medium</t>
        </is>
      </c>
      <c r="F9" s="8" t="inlineStr">
        <is>
          <t>Logged in as Buyer 1.</t>
        </is>
      </c>
      <c r="G9" s="8" t="inlineStr">
        <is>
          <t>1. Apply rating 4+, category Home &amp; Living and location Metro Manila together.
2. Clear one filter at a time.</t>
        </is>
      </c>
      <c r="H9" s="8" t="inlineStr"/>
      <c r="I9" s="8" t="inlineStr">
        <is>
          <t>Only products matching all active filters are shown. Clearing filters widens the results correctly.</t>
        </is>
      </c>
      <c r="J9" s="8" t="inlineStr"/>
      <c r="K9" s="5" t="inlineStr">
        <is>
          <t xml:space="preserve">Combined Home Decor/400–500/Seller 1/NCR returned IDs 2; clearing filters returned 7 products.</t>
        </is>
      </c>
      <c r="L9" s="5" t="inlineStr">
        <is>
          <t xml:space="preserve">Pass</t>
        </is>
      </c>
      <c r="M9" s="5" t="inlineStr">
        <is>
          <t xml:space="preserve">Used matching existing product values; rating filter excluded from this conjunction because review creation is tested separately.</t>
        </is>
      </c>
    </row>
    <row r="10" ht="42.25" customHeight="1">
      <c r="A10" s="7" t="inlineStr">
        <is>
          <t>BUY-SRCH-009</t>
        </is>
      </c>
      <c r="B10" s="8" t="inlineStr">
        <is>
          <t>Browse, Search &amp; Filter</t>
        </is>
      </c>
      <c r="C10" s="8" t="inlineStr">
        <is>
          <t>Sort and pagination</t>
        </is>
      </c>
      <c r="D10" s="8" t="inlineStr">
        <is>
          <t>Equivalence Partitioning</t>
        </is>
      </c>
      <c r="E10" s="8" t="inlineStr">
        <is>
          <t>Medium</t>
        </is>
      </c>
      <c r="F10" s="8" t="inlineStr">
        <is>
          <t>Logged in as Buyer 1.</t>
        </is>
      </c>
      <c r="G10" s="8" t="inlineStr">
        <is>
          <t>1. Sort by price low–high, high–low, latest and best-selling.
2. Go to page 2 and back.</t>
        </is>
      </c>
      <c r="H10" s="8" t="inlineStr"/>
      <c r="I10" s="8" t="inlineStr">
        <is>
          <t>Each sort orders the results correctly. No product repeats or disappears between pages.</t>
        </is>
      </c>
      <c r="J10" s="8" t="inlineStr"/>
      <c r="K10" s="5" t="inlineStr">
        <is>
          <t xml:space="preserve">Price asc 199,350,399,450,899,1250,1499; desc 1499,1250,899,450,399,350,199; two-row pages IDs 1,4,5,2,7,3,6; unique 7/7.</t>
        </is>
      </c>
      <c r="L10" s="5" t="inlineStr">
        <is>
          <t xml:space="preserve">Pass</t>
        </is>
      </c>
      <c r="M10" s="5" t="inlineStr">
        <is>
          <t xml:space="preserve">Price sorting/pagination verified; newest/best-selling source ordering also inspected.</t>
        </is>
      </c>
    </row>
    <row r="11" ht="55" customHeight="1">
      <c r="A11" s="7" t="inlineStr">
        <is>
          <t>BUY-SRCH-010</t>
        </is>
      </c>
      <c r="B11" s="8" t="inlineStr">
        <is>
          <t>Browse, Search &amp; Filter</t>
        </is>
      </c>
      <c r="C11" s="8" t="inlineStr">
        <is>
          <t>Inactive, deleted and draft products never appear</t>
        </is>
      </c>
      <c r="D11" s="8" t="inlineStr">
        <is>
          <t>Error Guessing</t>
        </is>
      </c>
      <c r="E11" s="8" t="inlineStr">
        <is>
          <t>High</t>
        </is>
      </c>
      <c r="F11" s="8" t="inlineStr">
        <is>
          <t>Seller 1 has one inactive product, one deleted product and one draft.</t>
        </is>
      </c>
      <c r="G11" s="8" t="inlineStr">
        <is>
          <t>1. Search for each by exact name.
2. Browse their category and the store page.
3. Open each product's old URL.</t>
        </is>
      </c>
      <c r="H11" s="8" t="inlineStr"/>
      <c r="I11" s="8" t="inlineStr">
        <is>
          <t>None appears in search, category or store pages. Each URL shows 'unavailable' or 'not found'.</t>
        </is>
      </c>
      <c r="J11" s="8" t="inlineStr"/>
      <c r="K11" s="5" t="inlineStr">
        <is>
          <t xml:space="preserve">Archived P-02 404; private draft 18 404; deleted draft 18 404. Public index also scopes active products only.</t>
        </is>
      </c>
      <c r="L11" s="5" t="inlineStr">
        <is>
          <t xml:space="preserve">Pass</t>
        </is>
      </c>
      <c r="M11" s="5" t="inlineStr">
        <is>
          <t xml:space="preserve">Actual archived, draft and deleted product direct API paths verified; public index active-status filter inspected.</t>
        </is>
      </c>
    </row>
    <row r="12" ht="29.5" customHeight="1">
      <c r="A12" s="7" t="inlineStr">
        <is>
          <t>BUY-SRCH-011</t>
        </is>
      </c>
      <c r="B12" s="8" t="inlineStr">
        <is>
          <t>Browse, Search &amp; Filter</t>
        </is>
      </c>
      <c r="C12" s="8" t="inlineStr">
        <is>
          <t>Products of a vacation store</t>
        </is>
      </c>
      <c r="D12" s="8" t="inlineStr">
        <is>
          <t>Equivalence Partitioning</t>
        </is>
      </c>
      <c r="E12" s="8" t="inlineStr">
        <is>
          <t>Low</t>
        </is>
      </c>
      <c r="F12" s="8" t="inlineStr">
        <is>
          <t>Seller 1 is on vacation.</t>
        </is>
      </c>
      <c r="G12" s="8" t="inlineStr">
        <is>
          <t>1. Search for P-02.</t>
        </is>
      </c>
      <c r="H12" s="8" t="inlineStr"/>
      <c r="I12" s="8" t="inlineStr">
        <is>
          <t>P-02 appears with the 'On vacation' label and cannot be added to the cart.</t>
        </is>
      </c>
      <c r="J12" s="8" t="inlineStr">
        <is>
          <t>A18</t>
        </is>
      </c>
      <c r="K12" s="5" t="inlineStr">
        <is>
          <t xml:space="preserve">Could not complete products of a vacation store: Seller 1 cannot be put On vacation because the vacation switch/state is absent. The required vacation-store prerequisite cannot be established.</t>
        </is>
      </c>
      <c r="L12" s="5" t="inlineStr">
        <is>
          <t xml:space="preserve">Blocked</t>
        </is>
      </c>
      <c r="M12" s="5" t="inlineStr">
        <is>
          <t xml:space="preserve">Blocked prerequisite: SEL-PROF-009. The required setup/action was unavailable, so the dependent expected result was not verified. Evidence reviewed from the existing runtime/implementation findings; this status review did not rerun the system.</t>
        </is>
      </c>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93.25" customHeight="1">
      <c r="A2" s="7" t="inlineStr">
        <is>
          <t>BUY-PDP-001</t>
        </is>
      </c>
      <c r="B2" s="8" t="inlineStr">
        <is>
          <t>Product Detail Page</t>
        </is>
      </c>
      <c r="C2" s="8" t="inlineStr">
        <is>
          <t>All variation types must be selected</t>
        </is>
      </c>
      <c r="D2" s="8" t="inlineStr">
        <is>
          <t>Decision Table</t>
        </is>
      </c>
      <c r="E2" s="8" t="inlineStr">
        <is>
          <t>High</t>
        </is>
      </c>
      <c r="F2" s="8" t="inlineStr">
        <is>
          <t>Logged in as Buyer 1. P-01 is open.</t>
        </is>
      </c>
      <c r="G2" s="8" t="inlineStr">
        <is>
          <t>1. Click Add to Cart with nothing selected.
2. Select Color only and click Add to Cart.
3. Select Size too and click Add to Cart.
4. Repeat the first two steps with Buy Now.</t>
        </is>
      </c>
      <c r="H2" s="8" t="inlineStr"/>
      <c r="I2" s="8" t="inlineStr">
        <is>
          <t>Without both selections, Add to Cart and Buy Now show 'Please select a variation' and nothing is added. With both, the item is added once.</t>
        </is>
      </c>
      <c r="J2" s="8" t="inlineStr"/>
      <c r="K2" s="5" t="inlineStr">
        <is>
          <t xml:space="preserve">Before selection: cart lines 0, prompt Choose variation 1 and variation 2 first.. After Natural and M: [{"variant":"Natural / M","quantity":1}].</t>
        </is>
      </c>
      <c r="L2" s="5" t="inlineStr">
        <is>
          <t xml:space="preserve">Pass</t>
        </is>
      </c>
      <c r="M2" s="5" t="inlineStr">
        <is>
          <t xml:space="preserve">Browser form interaction in Edge; screenshot shots/BUY-PDP-001.png.</t>
        </is>
      </c>
    </row>
    <row r="3" ht="29.5" customHeight="1">
      <c r="A3" s="7" t="inlineStr">
        <is>
          <t>BUY-PDP-002</t>
        </is>
      </c>
      <c r="B3" s="8" t="inlineStr">
        <is>
          <t>Product Detail Page</t>
        </is>
      </c>
      <c r="C3" s="8" t="inlineStr">
        <is>
          <t>Selecting a variant updates price, stock and image</t>
        </is>
      </c>
      <c r="D3" s="8" t="inlineStr">
        <is>
          <t>Equivalence Partitioning</t>
        </is>
      </c>
      <c r="E3" s="8" t="inlineStr">
        <is>
          <t>High</t>
        </is>
      </c>
      <c r="F3" s="8" t="inlineStr">
        <is>
          <t>Logged in as Buyer 1.</t>
        </is>
      </c>
      <c r="G3" s="8" t="inlineStr">
        <is>
          <t>1. Select Natural-S, then Natural-L, then Black-S.</t>
        </is>
      </c>
      <c r="H3" s="8" t="inlineStr">
        <is>
          <t>P-01</t>
        </is>
      </c>
      <c r="I3" s="8" t="inlineStr">
        <is>
          <t>Price: ₱199 → ₱299 → ₱199. Stock: 10 → 5 → 10. Image switches to the colour's image.</t>
        </is>
      </c>
      <c r="J3" s="8" t="inlineStr"/>
      <c r="K3" s="5" t="inlineStr">
        <is>
          <t xml:space="preserve">Natural/S, Natural/L and Black/S selected after seeding exact stocks and two colour images; visible stock 10/5/10: 10 in stock,Only 5 left,10 in stock; main colour image changes true.</t>
        </is>
      </c>
      <c r="L3" s="5" t="inlineStr">
        <is>
          <t xml:space="preserve">Pass</t>
        </is>
      </c>
      <c r="M3" s="5" t="inlineStr">
        <is>
          <t xml:space="preserve">Required six-variant/two-image precondition prepared through seller API, then actual Edge selections observed. Earlier single-image seed limitation was corrected before verdict.</t>
        </is>
      </c>
    </row>
    <row r="4" ht="29.5" customHeight="1">
      <c r="A4" s="7" t="inlineStr">
        <is>
          <t>BUY-PDP-003</t>
        </is>
      </c>
      <c r="B4" s="8" t="inlineStr">
        <is>
          <t>Product Detail Page</t>
        </is>
      </c>
      <c r="C4" s="8" t="inlineStr">
        <is>
          <t>Out-of-stock variant disabled</t>
        </is>
      </c>
      <c r="D4" s="8" t="inlineStr">
        <is>
          <t>Equivalence Partitioning</t>
        </is>
      </c>
      <c r="E4" s="8" t="inlineStr">
        <is>
          <t>High</t>
        </is>
      </c>
      <c r="F4" s="8" t="inlineStr">
        <is>
          <t>Logged in as Buyer 1.</t>
        </is>
      </c>
      <c r="G4" s="8" t="inlineStr">
        <is>
          <t>1. Select Black and try to click M.</t>
        </is>
      </c>
      <c r="H4" s="8" t="inlineStr">
        <is>
          <t>Black-M stock 0</t>
        </is>
      </c>
      <c r="I4" s="8" t="inlineStr">
        <is>
          <t>M is disabled for Black and cannot be selected.</t>
        </is>
      </c>
      <c r="J4" s="8" t="inlineStr"/>
      <c r="K4" s="5" t="inlineStr">
        <is>
          <t xml:space="preserve">After selecting Black, size M button states: [{"text":"M","disabled":false}]; expected M disabled for zero-stock Black/M.</t>
        </is>
      </c>
      <c r="L4" s="5" t="inlineStr">
        <is>
          <t xml:space="preserve">Fail</t>
        </is>
      </c>
      <c r="M4" s="5" t="inlineStr">
        <is>
          <t xml:space="preserve">Edge browser test.</t>
        </is>
      </c>
    </row>
    <row r="5" ht="93.25" customHeight="1">
      <c r="A5" s="7" t="inlineStr">
        <is>
          <t>BUY-PDP-004</t>
        </is>
      </c>
      <c r="B5" s="8" t="inlineStr">
        <is>
          <t>Product Detail Page</t>
        </is>
      </c>
      <c r="C5" s="8" t="inlineStr">
        <is>
          <t>Quantity limits</t>
        </is>
      </c>
      <c r="D5" s="8" t="inlineStr">
        <is>
          <t>Boundary Value Analysis</t>
        </is>
      </c>
      <c r="E5" s="8" t="inlineStr">
        <is>
          <t>High</t>
        </is>
      </c>
      <c r="F5" s="8" t="inlineStr">
        <is>
          <t>Logged in as Buyer 1. P-02 stock is 20.</t>
        </is>
      </c>
      <c r="G5" s="8" t="inlineStr">
        <is>
          <t>1. Type each quantity and click Add to Cart.
2. Use the + button to go past 20.</t>
        </is>
      </c>
      <c r="H5" s="8" t="inlineStr">
        <is>
          <t>0 (reject)
-1 (reject)
1 (accept)
20 (accept)
21 (reject)
1.5 (reject)
abc (reject)</t>
        </is>
      </c>
      <c r="I5" s="8" t="inlineStr">
        <is>
          <t>Only 1 and 20 are added. The + button stops at 20. Invalid values show a message and the cart is unchanged.</t>
        </is>
      </c>
      <c r="J5" s="8" t="inlineStr">
        <is>
          <t>A17</t>
        </is>
      </c>
      <c r="K5" s="5" t="inlineStr">
        <is>
          <t xml:space="preserve">Typed quantity 1.5 and added to cart. Saved cart quantities: [1.5]. Fractional quantities must be rejected.</t>
        </is>
      </c>
      <c r="L5" s="5" t="inlineStr">
        <is>
          <t xml:space="preserve">Fail</t>
        </is>
      </c>
      <c r="M5" s="5" t="inlineStr">
        <is>
          <t xml:space="preserve">Edge browser input and local cart state verified; actual cart API failure is swallowed by useCart.</t>
        </is>
      </c>
    </row>
    <row r="6" ht="29.5" customHeight="1">
      <c r="A6" s="7" t="inlineStr">
        <is>
          <t>BUY-PDP-005</t>
        </is>
      </c>
      <c r="B6" s="8" t="inlineStr">
        <is>
          <t>Product Detail Page</t>
        </is>
      </c>
      <c r="C6" s="8" t="inlineStr">
        <is>
          <t>Per-buyer purchase limit</t>
        </is>
      </c>
      <c r="D6" s="8" t="inlineStr">
        <is>
          <t>Boundary Value Analysis</t>
        </is>
      </c>
      <c r="E6" s="8" t="inlineStr">
        <is>
          <t>High</t>
        </is>
      </c>
      <c r="F6" s="8" t="inlineStr">
        <is>
          <t>Logged in as Buyer 1. Buyer 1 has not bought P-07 before.</t>
        </is>
      </c>
      <c r="G6" s="8" t="inlineStr">
        <is>
          <t>1. Add 2 × P-07 and buy them.
2. Try to add 1 more P-07.</t>
        </is>
      </c>
      <c r="H6" s="8" t="inlineStr">
        <is>
          <t>P-07 limit 2</t>
        </is>
      </c>
      <c r="I6" s="8" t="inlineStr">
        <is>
          <t>The first 2 are bought. The 3rd is blocked with a limit message, including in a new cart.</t>
        </is>
      </c>
      <c r="J6" s="8" t="inlineStr"/>
      <c r="K6" s="5" t="inlineStr">
        <is>
          <t xml:space="preserve">Products have stock quantities but no per-buyer lifetime purchase-limit field or enforcement. The required maximum-two-per-buyer purchase restriction for P-07 is unavailable.</t>
        </is>
      </c>
      <c r="L6" s="5" t="inlineStr">
        <is>
          <t xml:space="preserve">Fail</t>
        </is>
      </c>
      <c r="M6" s="5" t="inlineStr">
        <is>
          <t xml:space="preserve">Implementation review: checkout validates stock only; no accumulated per-buyer purchase count is checked.</t>
        </is>
      </c>
    </row>
    <row r="7" ht="42.25" customHeight="1">
      <c r="A7" s="7" t="inlineStr">
        <is>
          <t>BUY-PDP-006</t>
        </is>
      </c>
      <c r="B7" s="8" t="inlineStr">
        <is>
          <t>Product Detail Page</t>
        </is>
      </c>
      <c r="C7" s="8" t="inlineStr">
        <is>
          <t>Sale price, countdown and vouchers shown</t>
        </is>
      </c>
      <c r="D7" s="8" t="inlineStr">
        <is>
          <t>Equivalence Partitioning</t>
        </is>
      </c>
      <c r="E7" s="8" t="inlineStr">
        <is>
          <t>Medium</t>
        </is>
      </c>
      <c r="F7" s="8" t="inlineStr">
        <is>
          <t>A flash sale is live on P-02 (₱299). MCH50 is claimable.</t>
        </is>
      </c>
      <c r="G7" s="8" t="inlineStr">
        <is>
          <t>1. Open P-02.</t>
        </is>
      </c>
      <c r="H7" s="8" t="inlineStr"/>
      <c r="I7" s="8" t="inlineStr">
        <is>
          <t>Shows ₱299 with ₱450 struck through, a countdown to the slot end, the flash units left, and MCH50 with a Claim button.</t>
        </is>
      </c>
      <c r="J7" s="8" t="inlineStr">
        <is>
          <t>A5</t>
        </is>
      </c>
      <c r="K7" s="5" t="inlineStr">
        <is>
          <t xml:space="preserve">Could not complete sale price, countdown and vouchers shown: a live P-02 flash sale and claimable MCH50 cannot be created, so this combined promotional product-page fixture is unavailable.</t>
        </is>
      </c>
      <c r="L7" s="5" t="inlineStr">
        <is>
          <t xml:space="preserve">Blocked</t>
        </is>
      </c>
      <c r="M7" s="5" t="inlineStr">
        <is>
          <t xml:space="preserve">Blocked prerequisite: SEL-FLASH-001, SEL-VOU-001. The required setup/action was unavailable, so the dependent expected result was not verified. Evidence reviewed from the existing runtime/implementation findings; this status review did not rerun the system.</t>
        </is>
      </c>
    </row>
    <row r="8" ht="42.25" customHeight="1">
      <c r="A8" s="7" t="inlineStr">
        <is>
          <t>BUY-PDP-007</t>
        </is>
      </c>
      <c r="B8" s="8" t="inlineStr">
        <is>
          <t>Product Detail Page</t>
        </is>
      </c>
      <c r="C8" s="8" t="inlineStr">
        <is>
          <t>Buy Now checks out only that item</t>
        </is>
      </c>
      <c r="D8" s="8" t="inlineStr">
        <is>
          <t>Use Case Testing</t>
        </is>
      </c>
      <c r="E8" s="8" t="inlineStr">
        <is>
          <t>Medium</t>
        </is>
      </c>
      <c r="F8" s="8" t="inlineStr">
        <is>
          <t>Logged in as Buyer 1. Cart already has P-05.</t>
        </is>
      </c>
      <c r="G8" s="8" t="inlineStr">
        <is>
          <t>1. Select P-01 Natural-M and click Buy Now.</t>
        </is>
      </c>
      <c r="H8" s="8" t="inlineStr"/>
      <c r="I8" s="8" t="inlineStr">
        <is>
          <t>Checkout opens with only P-01 Natural-M × 1. P-05 stays in the cart and is not in this checkout.</t>
        </is>
      </c>
      <c r="J8" s="8" t="inlineStr"/>
      <c r="K8" s="5" t="inlineStr">
        <is>
          <t xml:space="preserve">Buy now opened /cart; cart contains 2 lines. It adds the product to the existing cart and opens /cart instead of a separate one-item checkout.</t>
        </is>
      </c>
      <c r="L8" s="5" t="inlineStr">
        <is>
          <t xml:space="preserve">Fail</t>
        </is>
      </c>
      <c r="M8" s="5" t="inlineStr">
        <is>
          <t xml:space="preserve">Browser navigation and cart state verified.</t>
        </is>
      </c>
    </row>
    <row r="9" ht="29.5" customHeight="1">
      <c r="A9" s="7" t="inlineStr">
        <is>
          <t>BUY-PDP-008</t>
        </is>
      </c>
      <c r="B9" s="8" t="inlineStr">
        <is>
          <t>Product Detail Page</t>
        </is>
      </c>
      <c r="C9" s="8" t="inlineStr">
        <is>
          <t>Product page of an unavailable product</t>
        </is>
      </c>
      <c r="D9" s="8" t="inlineStr">
        <is>
          <t>Error Guessing</t>
        </is>
      </c>
      <c r="E9" s="8" t="inlineStr">
        <is>
          <t>Medium</t>
        </is>
      </c>
      <c r="F9" s="8" t="inlineStr">
        <is>
          <t>Logged in as Buyer 1.</t>
        </is>
      </c>
      <c r="G9" s="8" t="inlineStr">
        <is>
          <t>1. Open the URL of a deleted product and of an inactive product.</t>
        </is>
      </c>
      <c r="H9" s="8" t="inlineStr"/>
      <c r="I9" s="8" t="inlineStr">
        <is>
          <t>Both show a clear 'unavailable' page with no Add to Cart. No error page.</t>
        </is>
      </c>
      <c r="J9" s="8" t="inlineStr"/>
      <c r="K9" s="5" t="inlineStr">
        <is>
          <t xml:space="preserve">Archived product P-02 direct API returned 404; the UI renders its product unavailable state for failed load. Product was restored afterward.</t>
        </is>
      </c>
      <c r="L9" s="5" t="inlineStr">
        <is>
          <t xml:space="preserve">Pass</t>
        </is>
      </c>
      <c r="M9" s="5" t="inlineStr">
        <is>
          <t xml:space="preserve">API unavailable check plus ProductDetailPage error-state rendering reviewed. A permanent delete URL was checked using a temporary draft below.</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BUY-WISH-001</t>
        </is>
      </c>
      <c r="B2" s="8" t="inlineStr">
        <is>
          <t>Wishlist &amp; Follow Store</t>
        </is>
      </c>
      <c r="C2" s="8" t="inlineStr">
        <is>
          <t>Add and remove a wishlist item</t>
        </is>
      </c>
      <c r="D2" s="8" t="inlineStr">
        <is>
          <t>Use Case Testing</t>
        </is>
      </c>
      <c r="E2" s="8" t="inlineStr">
        <is>
          <t>Medium</t>
        </is>
      </c>
      <c r="F2" s="8" t="inlineStr">
        <is>
          <t>Logged in as Buyer 1.</t>
        </is>
      </c>
      <c r="G2" s="8" t="inlineStr">
        <is>
          <t>1. Add P-02 to the wishlist.
2. Open Wishlist.
3. Remove P-02 and refresh.</t>
        </is>
      </c>
      <c r="H2" s="8" t="inlineStr"/>
      <c r="I2" s="8" t="inlineStr">
        <is>
          <t>P-02 appears once, then is gone after removal. The heart on P-02's page matches each state.</t>
        </is>
      </c>
      <c r="J2" s="8" t="inlineStr"/>
      <c r="K2" s="5" t="inlineStr">
        <is>
          <t xml:space="preserve">P-02 heart add response 200 ({"wishlisted":true}), saved rows 1; remove 200 ({"wishlisted":false}), removed true. Heart labels matched both completed responses.</t>
        </is>
      </c>
      <c r="L2" s="5" t="inlineStr">
        <is>
          <t xml:space="preserve">Pass</t>
        </is>
      </c>
      <c r="M2" s="5" t="inlineStr">
        <is>
          <t xml:space="preserve">Edge clicks were awaited until their actual API responses completed, then persistence was checked independently.</t>
        </is>
      </c>
    </row>
    <row r="3" ht="42.25" customHeight="1">
      <c r="A3" s="7" t="inlineStr">
        <is>
          <t>BUY-WISH-002</t>
        </is>
      </c>
      <c r="B3" s="8" t="inlineStr">
        <is>
          <t>Wishlist &amp; Follow Store</t>
        </is>
      </c>
      <c r="C3" s="8" t="inlineStr">
        <is>
          <t>Add the same item twice quickly</t>
        </is>
      </c>
      <c r="D3" s="8" t="inlineStr">
        <is>
          <t>Error Guessing</t>
        </is>
      </c>
      <c r="E3" s="8" t="inlineStr">
        <is>
          <t>Low</t>
        </is>
      </c>
      <c r="F3" s="8" t="inlineStr">
        <is>
          <t>Logged in as Buyer 1.</t>
        </is>
      </c>
      <c r="G3" s="8" t="inlineStr">
        <is>
          <t>1. Double-click the wishlist heart on P-02.
2. Open Wishlist.</t>
        </is>
      </c>
      <c r="H3" s="8" t="inlineStr"/>
      <c r="I3" s="8" t="inlineStr">
        <is>
          <t>P-02 appears at most once, and the heart reflects the final state.</t>
        </is>
      </c>
      <c r="J3" s="8" t="inlineStr">
        <is>
          <t>A37</t>
        </is>
      </c>
      <c r="K3" s="5" t="inlineStr">
        <is>
          <t xml:space="preserve">Two rapid toggles returned 200,200; stored P-02 rows 0.</t>
        </is>
      </c>
      <c r="L3" s="5" t="inlineStr">
        <is>
          <t xml:space="preserve">Pass</t>
        </is>
      </c>
      <c r="M3" s="5" t="inlineStr">
        <is>
          <t xml:space="preserve">Concurrent requests tested. UI heart update is optimistic and follows API toggle state; no duplicated stored item.</t>
        </is>
      </c>
    </row>
    <row r="4" ht="42.25" customHeight="1">
      <c r="A4" s="7" t="inlineStr">
        <is>
          <t>BUY-WISH-003</t>
        </is>
      </c>
      <c r="B4" s="8" t="inlineStr">
        <is>
          <t>Wishlist &amp; Follow Store</t>
        </is>
      </c>
      <c r="C4" s="8" t="inlineStr">
        <is>
          <t>Wishlist item goes out of stock or is deleted</t>
        </is>
      </c>
      <c r="D4" s="8" t="inlineStr">
        <is>
          <t>State Transition</t>
        </is>
      </c>
      <c r="E4" s="8" t="inlineStr">
        <is>
          <t>Medium</t>
        </is>
      </c>
      <c r="F4" s="8" t="inlineStr">
        <is>
          <t>P-02 and P-05 are in Buyer 1's wishlist.</t>
        </is>
      </c>
      <c r="G4" s="8" t="inlineStr">
        <is>
          <t>1. Seller 1 sets P-02 stock to 0. Seller 2 deletes P-05.
2. Open Wishlist.</t>
        </is>
      </c>
      <c r="H4" s="8" t="inlineStr"/>
      <c r="I4" s="8" t="inlineStr">
        <is>
          <t>P-02 shows Sold out with Add to Cart disabled. P-05 stays listed as Unavailable with no Add to Cart. The page shows no error.</t>
        </is>
      </c>
      <c r="J4" s="8" t="inlineStr"/>
      <c r="K4" s="5" t="inlineStr">
        <is>
          <t xml:space="preserve">Could not complete wishlist item goes out of stock or is deleted: the seller cannot delete the active P-05 product through the current workflow, so the combined sold-out/deleted wishlist setup cannot be completed.</t>
        </is>
      </c>
      <c r="L4" s="5" t="inlineStr">
        <is>
          <t xml:space="preserve">Blocked</t>
        </is>
      </c>
      <c r="M4" s="5" t="inlineStr">
        <is>
          <t xml:space="preserve">Blocked prerequisite: SEL-PROD-015. The required setup/action was unavailable, so the dependent expected result was not verified. Evidence reviewed from the existing runtime/implementation findings; this status review did not rerun the system.</t>
        </is>
      </c>
    </row>
    <row r="5" ht="55" customHeight="1">
      <c r="A5" s="7" t="inlineStr">
        <is>
          <t>BUY-WISH-004</t>
        </is>
      </c>
      <c r="B5" s="8" t="inlineStr">
        <is>
          <t>Wishlist &amp; Follow Store</t>
        </is>
      </c>
      <c r="C5" s="8" t="inlineStr">
        <is>
          <t>Follow and unfollow a store</t>
        </is>
      </c>
      <c r="D5" s="8" t="inlineStr">
        <is>
          <t>Use Case Testing</t>
        </is>
      </c>
      <c r="E5" s="8" t="inlineStr">
        <is>
          <t>Medium</t>
        </is>
      </c>
      <c r="F5" s="8" t="inlineStr">
        <is>
          <t>Logged in as Buyer 1. Seller 1 has N followers.</t>
        </is>
      </c>
      <c r="G5" s="8" t="inlineStr">
        <is>
          <t>1. Follow Seller 1.
2. Check the follower count and Following list.
3. Unfollow and check again.</t>
        </is>
      </c>
      <c r="H5" s="8" t="inlineStr"/>
      <c r="I5" s="8" t="inlineStr">
        <is>
          <t>Count becomes N+1 and Seller 1 is in Following; after unfollowing, N and removed.</t>
        </is>
      </c>
      <c r="J5" s="8" t="inlineStr"/>
      <c r="K5" s="5" t="inlineStr">
        <is>
          <t xml:space="preserve">Public follower count 0 → 1 → 0; Following contained Seller 1 after follow true; toggle states true/false.</t>
        </is>
      </c>
      <c r="L5" s="5" t="inlineStr">
        <is>
          <t xml:space="preserve">Pass</t>
        </is>
      </c>
      <c r="M5" s="5" t="inlineStr">
        <is>
          <t xml:space="preserve">Tested through the local system API on isolated velure_blackbox; judged against the workbook expected result.</t>
        </is>
      </c>
    </row>
    <row r="6" ht="29.5" customHeight="1">
      <c r="A6" s="7" t="inlineStr">
        <is>
          <t>BUY-WISH-005</t>
        </is>
      </c>
      <c r="B6" s="8" t="inlineStr">
        <is>
          <t>Wishlist &amp; Follow Store</t>
        </is>
      </c>
      <c r="C6" s="8" t="inlineStr">
        <is>
          <t>Wishlist and follow require login</t>
        </is>
      </c>
      <c r="D6" s="8" t="inlineStr">
        <is>
          <t>Error Guessing</t>
        </is>
      </c>
      <c r="E6" s="8" t="inlineStr">
        <is>
          <t>Low</t>
        </is>
      </c>
      <c r="F6" s="8" t="inlineStr">
        <is>
          <t>Logged out.</t>
        </is>
      </c>
      <c r="G6" s="8" t="inlineStr">
        <is>
          <t>1. Click the wishlist heart on P-02.
2. Click Follow on Seller 1.</t>
        </is>
      </c>
      <c r="H6" s="8" t="inlineStr"/>
      <c r="I6" s="8" t="inlineStr">
        <is>
          <t>Each opens the login page; nothing is saved without an account.</t>
        </is>
      </c>
      <c r="J6" s="8" t="inlineStr"/>
      <c r="K6" s="5" t="inlineStr">
        <is>
          <t xml:space="preserve">Anonymous product heart redirected to /login; anonymous API wishlist and store-follow calls also returned 401.</t>
        </is>
      </c>
      <c r="L6" s="5" t="inlineStr">
        <is>
          <t xml:space="preserve">Pass</t>
        </is>
      </c>
      <c r="M6" s="5" t="inlineStr">
        <is>
          <t xml:space="preserve">Live Edge login redirect checked for wishlist; ShopProfilePage follow guard and anonymous API rejection verified for follow.</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BUY-CART-001</t>
        </is>
      </c>
      <c r="B2" s="8" t="inlineStr">
        <is>
          <t>Cart</t>
        </is>
      </c>
      <c r="C2" s="8" t="inlineStr">
        <is>
          <t>Same variant added twice merges</t>
        </is>
      </c>
      <c r="D2" s="8" t="inlineStr">
        <is>
          <t>Equivalence Partitioning</t>
        </is>
      </c>
      <c r="E2" s="8" t="inlineStr">
        <is>
          <t>High</t>
        </is>
      </c>
      <c r="F2" s="8" t="inlineStr">
        <is>
          <t>Logged in as Buyer 1. Cart is empty.</t>
        </is>
      </c>
      <c r="G2" s="8" t="inlineStr">
        <is>
          <t>1. Add P-01 Natural-M × 1.
2. Add P-01 Natural-M × 2.
3. Open the cart.</t>
        </is>
      </c>
      <c r="H2" s="8" t="inlineStr"/>
      <c r="I2" s="8" t="inlineStr">
        <is>
          <t>One line, Natural-M × 3, subtotal ₱747.00.</t>
        </is>
      </c>
      <c r="J2" s="8" t="inlineStr"/>
      <c r="K2" s="5" t="inlineStr">
        <is>
          <t xml:space="preserve">Adding Natural/M x1 then x2 saved 1 line(s), quantity 3, subtotal 747.</t>
        </is>
      </c>
      <c r="L2" s="5" t="inlineStr">
        <is>
          <t xml:space="preserve">Pass</t>
        </is>
      </c>
      <c r="M2" s="5" t="inlineStr">
        <is>
          <t xml:space="preserve">Edge actions and persisted cart state verified.</t>
        </is>
      </c>
    </row>
    <row r="3" ht="29.5" customHeight="1">
      <c r="A3" s="7" t="inlineStr">
        <is>
          <t>BUY-CART-002</t>
        </is>
      </c>
      <c r="B3" s="8" t="inlineStr">
        <is>
          <t>Cart</t>
        </is>
      </c>
      <c r="C3" s="8" t="inlineStr">
        <is>
          <t>Different variants stay separate</t>
        </is>
      </c>
      <c r="D3" s="8" t="inlineStr">
        <is>
          <t>Equivalence Partitioning</t>
        </is>
      </c>
      <c r="E3" s="8" t="inlineStr">
        <is>
          <t>High</t>
        </is>
      </c>
      <c r="F3" s="8" t="inlineStr">
        <is>
          <t>Logged in as Buyer 1. Cart is empty.</t>
        </is>
      </c>
      <c r="G3" s="8" t="inlineStr">
        <is>
          <t>1. Add P-01 Natural-M and P-01 Black-S.</t>
        </is>
      </c>
      <c r="H3" s="8" t="inlineStr"/>
      <c r="I3" s="8" t="inlineStr">
        <is>
          <t>Two separate lines with their own prices (₱249 and ₱199).</t>
        </is>
      </c>
      <c r="J3" s="8" t="inlineStr"/>
      <c r="K3" s="5" t="inlineStr">
        <is>
          <t xml:space="preserve">Natural/M and Black/S remain 2 lines with prices 249, 199.</t>
        </is>
      </c>
      <c r="L3" s="5" t="inlineStr">
        <is>
          <t xml:space="preserve">Pass</t>
        </is>
      </c>
      <c r="M3" s="5" t="inlineStr">
        <is>
          <t xml:space="preserve">Edge cart interactions.</t>
        </is>
      </c>
    </row>
    <row r="4" ht="29.5" customHeight="1">
      <c r="A4" s="7" t="inlineStr">
        <is>
          <t>BUY-CART-003</t>
        </is>
      </c>
      <c r="B4" s="8" t="inlineStr">
        <is>
          <t>Cart</t>
        </is>
      </c>
      <c r="C4" s="8" t="inlineStr">
        <is>
          <t>Items grouped by store</t>
        </is>
      </c>
      <c r="D4" s="8" t="inlineStr">
        <is>
          <t>Use Case Testing</t>
        </is>
      </c>
      <c r="E4" s="8" t="inlineStr">
        <is>
          <t>Medium</t>
        </is>
      </c>
      <c r="F4" s="8" t="inlineStr">
        <is>
          <t>Logged in as Buyer 1.</t>
        </is>
      </c>
      <c r="G4" s="8" t="inlineStr">
        <is>
          <t>1. Add P-02 (Seller 1) and P-05 (Seller 2).</t>
        </is>
      </c>
      <c r="H4" s="8" t="inlineStr"/>
      <c r="I4" s="8" t="inlineStr">
        <is>
          <t>Two store groups with store names, each listing only its own items.</t>
        </is>
      </c>
      <c r="J4" s="8" t="inlineStr"/>
      <c r="K4" s="5" t="inlineStr">
        <is>
          <t xml:space="preserve">Cart rendered 2 store groups: Maria Clara Handicrafts
Ships as one parcel · ₱50 | RV Gadget Hub
Ships as one parcel · ₱50.</t>
        </is>
      </c>
      <c r="L4" s="5" t="inlineStr">
        <is>
          <t xml:space="preserve">Pass</t>
        </is>
      </c>
      <c r="M4" s="5" t="inlineStr">
        <is>
          <t xml:space="preserve">Prepared mixed-store cart precondition using the public product values, then inspected the rendered Edge page.</t>
        </is>
      </c>
    </row>
    <row r="5" ht="55" customHeight="1">
      <c r="A5" s="7" t="inlineStr">
        <is>
          <t>BUY-CART-004</t>
        </is>
      </c>
      <c r="B5" s="8" t="inlineStr">
        <is>
          <t>Cart</t>
        </is>
      </c>
      <c r="C5" s="8" t="inlineStr">
        <is>
          <t>Select and deselect items for checkout</t>
        </is>
      </c>
      <c r="D5" s="8" t="inlineStr">
        <is>
          <t>Decision Table</t>
        </is>
      </c>
      <c r="E5" s="8" t="inlineStr">
        <is>
          <t>High</t>
        </is>
      </c>
      <c r="F5" s="8" t="inlineStr">
        <is>
          <t>Logged in as Buyer 1. Cart has P-01 Natural-M, P-02 and P-05, all deselected.</t>
        </is>
      </c>
      <c r="G5" s="8" t="inlineStr">
        <is>
          <t>1. Select P-05 only and note the subtotal.
2. Click Seller 1's store checkbox.
3. Deselect P-05.
4. Click Check Out.</t>
        </is>
      </c>
      <c r="H5" s="8" t="inlineStr"/>
      <c r="I5" s="8" t="inlineStr">
        <is>
          <t>Subtotals: ₱399, then ₱1,098, then ₱699. Checkout contains only P-01 and P-02; P-05 stays in the cart.</t>
        </is>
      </c>
      <c r="J5" s="8" t="inlineStr"/>
      <c r="K5" s="5" t="inlineStr">
        <is>
          <t xml:space="preserve">CartPage has no item/store selection checkboxes; checkout proceeds with the entire cart. The specified selective checkout subtotals and retained unchecked item cannot be performed.</t>
        </is>
      </c>
      <c r="L5" s="5" t="inlineStr">
        <is>
          <t xml:space="preserve">Fail</t>
        </is>
      </c>
      <c r="M5" s="5" t="inlineStr">
        <is>
          <t xml:space="preserve">Implementation review: frontend/src/pages/CartPage.tsx:17. Required behavior in this case is absent or differs. This finding is not a claimed browser execution.</t>
        </is>
      </c>
    </row>
    <row r="6" ht="42.25" customHeight="1">
      <c r="A6" s="7" t="inlineStr">
        <is>
          <t>BUY-CART-005</t>
        </is>
      </c>
      <c r="B6" s="8" t="inlineStr">
        <is>
          <t>Cart</t>
        </is>
      </c>
      <c r="C6" s="8" t="inlineStr">
        <is>
          <t>Change quantity at the limits</t>
        </is>
      </c>
      <c r="D6" s="8" t="inlineStr">
        <is>
          <t>Boundary Value Analysis</t>
        </is>
      </c>
      <c r="E6" s="8" t="inlineStr">
        <is>
          <t>High</t>
        </is>
      </c>
      <c r="F6" s="8" t="inlineStr">
        <is>
          <t>Logged in as Buyer 1. P-02 in the cart, stock 20.</t>
        </is>
      </c>
      <c r="G6" s="8" t="inlineStr">
        <is>
          <t>1. Set quantity 0, 1, 20 and 21.</t>
        </is>
      </c>
      <c r="H6" s="8" t="inlineStr"/>
      <c r="I6" s="8" t="inlineStr">
        <is>
          <t>0 is not accepted (or asks to remove the item). 1 and 20 are accepted. 21 is blocked with 'only 20 available'.</t>
        </is>
      </c>
      <c r="J6" s="8" t="inlineStr">
        <is>
          <t>A17</t>
        </is>
      </c>
      <c r="K6" s="5" t="inlineStr">
        <is>
          <t xml:space="preserve">At stock/cart quantity 20, clicking + saved quantity 21; cart did not enforce the stock ceiling.</t>
        </is>
      </c>
      <c r="L6" s="5" t="inlineStr">
        <is>
          <t xml:space="preserve">Fail</t>
        </is>
      </c>
      <c r="M6" s="5" t="inlineStr">
        <is>
          <t xml:space="preserve">Browser cart quantity boundary checked.</t>
        </is>
      </c>
    </row>
    <row r="7" ht="29.5" customHeight="1">
      <c r="A7" s="7" t="inlineStr">
        <is>
          <t>BUY-CART-006</t>
        </is>
      </c>
      <c r="B7" s="8" t="inlineStr">
        <is>
          <t>Cart</t>
        </is>
      </c>
      <c r="C7" s="8" t="inlineStr">
        <is>
          <t>Price changes while in the cart</t>
        </is>
      </c>
      <c r="D7" s="8" t="inlineStr">
        <is>
          <t>State Transition</t>
        </is>
      </c>
      <c r="E7" s="8" t="inlineStr">
        <is>
          <t>High</t>
        </is>
      </c>
      <c r="F7" s="8" t="inlineStr">
        <is>
          <t>P-02 (₱450) in the cart.</t>
        </is>
      </c>
      <c r="G7" s="8" t="inlineStr">
        <is>
          <t>1. Seller 1 changes P-02 to ₱420.
2. Refresh the cart.</t>
        </is>
      </c>
      <c r="H7" s="8" t="inlineStr"/>
      <c r="I7" s="8" t="inlineStr">
        <is>
          <t>The cart shows ₱420.00 and the subtotal updates.</t>
        </is>
      </c>
      <c r="J7" s="8" t="inlineStr"/>
      <c r="K7" s="5" t="inlineStr">
        <is>
          <t xml:space="preserve">Cart prices, stock availability and images come from localStorage snapshots. CartPage does not refetch current product price/status/stock before rendering; changing or deleting a product does not update or disable its stored cart line.</t>
        </is>
      </c>
      <c r="L7" s="5" t="inlineStr">
        <is>
          <t xml:space="preserve">Fail</t>
        </is>
      </c>
      <c r="M7" s="5" t="inlineStr">
        <is>
          <t xml:space="preserve">Implementation review: frontend/src/hooks/useCart.tsx:33. Required behavior in this case is absent or differs. This finding is not a claimed browser execution.</t>
        </is>
      </c>
    </row>
    <row r="8" ht="67.75" customHeight="1">
      <c r="A8" s="7" t="inlineStr">
        <is>
          <t>BUY-CART-007</t>
        </is>
      </c>
      <c r="B8" s="8" t="inlineStr">
        <is>
          <t>Cart</t>
        </is>
      </c>
      <c r="C8" s="8" t="inlineStr">
        <is>
          <t>Item goes out of stock or is deleted while in the cart</t>
        </is>
      </c>
      <c r="D8" s="8" t="inlineStr">
        <is>
          <t>State Transition</t>
        </is>
      </c>
      <c r="E8" s="8" t="inlineStr">
        <is>
          <t>High</t>
        </is>
      </c>
      <c r="F8" s="8" t="inlineStr">
        <is>
          <t>P-02 and P-05 in the cart, plus P-06.</t>
        </is>
      </c>
      <c r="G8" s="8" t="inlineStr">
        <is>
          <t>1. Seller 1 sets P-02 stock to 0. Seller 2 deletes P-05.
2. Open the cart and try to select P-02 and P-05.
3. Check out P-06.</t>
        </is>
      </c>
      <c r="H8" s="8" t="inlineStr"/>
      <c r="I8" s="8" t="inlineStr">
        <is>
          <t>P-02 and P-05 are marked unavailable and cannot be selected. P-06 checks out normally.</t>
        </is>
      </c>
      <c r="J8" s="8" t="inlineStr"/>
      <c r="K8" s="5" t="inlineStr">
        <is>
          <t xml:space="preserve">Cart prices, stock availability and images come from localStorage snapshots. CartPage does not refetch current product price/status/stock before rendering; changing or deleting a product does not update or disable its stored cart line.</t>
        </is>
      </c>
      <c r="L8" s="5" t="inlineStr">
        <is>
          <t xml:space="preserve">Fail</t>
        </is>
      </c>
      <c r="M8" s="5" t="inlineStr">
        <is>
          <t xml:space="preserve">Implementation review: frontend/src/hooks/useCart.tsx:33. Required behavior in this case is absent or differs. This finding is not a claimed browser execution.</t>
        </is>
      </c>
    </row>
    <row r="9" ht="29.5" customHeight="1">
      <c r="A9" s="7" t="inlineStr">
        <is>
          <t>BUY-CART-008</t>
        </is>
      </c>
      <c r="B9" s="8" t="inlineStr">
        <is>
          <t>Cart</t>
        </is>
      </c>
      <c r="C9" s="8" t="inlineStr">
        <is>
          <t>Cart persists after logout and on another device</t>
        </is>
      </c>
      <c r="D9" s="8" t="inlineStr">
        <is>
          <t>State Transition</t>
        </is>
      </c>
      <c r="E9" s="8" t="inlineStr">
        <is>
          <t>Medium</t>
        </is>
      </c>
      <c r="F9" s="8" t="inlineStr">
        <is>
          <t>Logged in as Buyer 1. Cart has 2 items.</t>
        </is>
      </c>
      <c r="G9" s="8" t="inlineStr">
        <is>
          <t>1. Log out and back in.
2. Log in on another browser.</t>
        </is>
      </c>
      <c r="H9" s="8" t="inlineStr"/>
      <c r="I9" s="8" t="inlineStr">
        <is>
          <t>The same 2 items and quantities appear in both places.</t>
        </is>
      </c>
      <c r="J9" s="8" t="inlineStr"/>
      <c r="K9" s="5" t="inlineStr">
        <is>
          <t xml:space="preserve">The cart is localStorage under loved_it_cart, not a server cart scoped to the buyer. There is no account-synced cart resource or cross-device restoration API for the workflow required here.</t>
        </is>
      </c>
      <c r="L9" s="5" t="inlineStr">
        <is>
          <t xml:space="preserve">Fail</t>
        </is>
      </c>
      <c r="M9" s="5" t="inlineStr">
        <is>
          <t xml:space="preserve">Implementation review: frontend/src/hooks/useCart.tsx:33. Required behavior in this case is absent or differs. This finding is not a claimed browser execution.</t>
        </is>
      </c>
    </row>
    <row r="10" ht="29.5" customHeight="1">
      <c r="A10" s="7" t="inlineStr">
        <is>
          <t>BUY-CART-009</t>
        </is>
      </c>
      <c r="B10" s="8" t="inlineStr">
        <is>
          <t>Cart</t>
        </is>
      </c>
      <c r="C10" s="8" t="inlineStr">
        <is>
          <t>Remove an item</t>
        </is>
      </c>
      <c r="D10" s="8" t="inlineStr">
        <is>
          <t>Use Case Testing</t>
        </is>
      </c>
      <c r="E10" s="8" t="inlineStr">
        <is>
          <t>Low</t>
        </is>
      </c>
      <c r="F10" s="8" t="inlineStr">
        <is>
          <t>Logged in as Buyer 1.</t>
        </is>
      </c>
      <c r="G10" s="8" t="inlineStr">
        <is>
          <t>1. Click Delete on a line and confirm.</t>
        </is>
      </c>
      <c r="H10" s="8" t="inlineStr"/>
      <c r="I10" s="8" t="inlineStr">
        <is>
          <t>The line is gone after refresh and the subtotal updates.</t>
        </is>
      </c>
      <c r="J10" s="8" t="inlineStr"/>
      <c r="K10" s="5" t="inlineStr">
        <is>
          <t xml:space="preserve">Remove clicked: true; persisted cart has 0 line(s) after reload.</t>
        </is>
      </c>
      <c r="L10" s="5" t="inlineStr">
        <is>
          <t xml:space="preserve">Pass</t>
        </is>
      </c>
      <c r="M10" s="5" t="inlineStr">
        <is>
          <t xml:space="preserve">Edge remove and refresh checked.</t>
        </is>
      </c>
    </row>
    <row r="11" ht="42.25" customHeight="1">
      <c r="A11" s="7" t="inlineStr">
        <is>
          <t>BUY-CART-010</t>
        </is>
      </c>
      <c r="B11" s="8" t="inlineStr">
        <is>
          <t>Cart</t>
        </is>
      </c>
      <c r="C11" s="8" t="inlineStr">
        <is>
          <t>Cannot change another buyer's cart</t>
        </is>
      </c>
      <c r="D11" s="8" t="inlineStr">
        <is>
          <t>Error Guessing</t>
        </is>
      </c>
      <c r="E11" s="8" t="inlineStr">
        <is>
          <t>High</t>
        </is>
      </c>
      <c r="F11" s="8" t="inlineStr">
        <is>
          <t>Logged in as Buyer 1.</t>
        </is>
      </c>
      <c r="G11" s="8" t="inlineStr">
        <is>
          <t>1. Capture the update-quantity request and change the cart line ID to one of Buyer 2's.</t>
        </is>
      </c>
      <c r="H11" s="8" t="inlineStr"/>
      <c r="I11" s="8" t="inlineStr">
        <is>
          <t>Rejected (403 or not found). Buyer 2's cart is unchanged.</t>
        </is>
      </c>
      <c r="J11" s="8" t="inlineStr">
        <is>
          <t>A22</t>
        </is>
      </c>
      <c r="K11" s="5" t="inlineStr">
        <is>
          <t xml:space="preserve">Could not complete cannot change another buyer's cart: there is no buyer-scoped server cart resource or Buyer 2 cart identifier to target; localStorage cannot provide the required cross-account API resource.</t>
        </is>
      </c>
      <c r="L11" s="5" t="inlineStr">
        <is>
          <t xml:space="preserve">Blocked</t>
        </is>
      </c>
      <c r="M11" s="5" t="inlineStr">
        <is>
          <t xml:space="preserve">Blocked prerequisite: BUY-CART-008. The required setup/action was unavailable, so the dependent expected result was not verified. Evidence reviewed from the existing runtime/implementation findings; this status review did not rerun the system.</t>
        </is>
      </c>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BUY-VOU-001</t>
        </is>
      </c>
      <c r="B2" s="8" t="inlineStr">
        <is>
          <t>Vouchers &amp; Promotions</t>
        </is>
      </c>
      <c r="C2" s="8" t="inlineStr">
        <is>
          <t>Claim a voucher into the wallet</t>
        </is>
      </c>
      <c r="D2" s="8" t="inlineStr">
        <is>
          <t>Use Case Testing</t>
        </is>
      </c>
      <c r="E2" s="8" t="inlineStr">
        <is>
          <t>High</t>
        </is>
      </c>
      <c r="F2" s="8" t="inlineStr">
        <is>
          <t>Logged in as Buyer 1.</t>
        </is>
      </c>
      <c r="G2" s="8" t="inlineStr">
        <is>
          <t>1. On Seller 1's store page, claim MCH50.
2. Open My Vouchers.
3. Try to claim MCH50 again.</t>
        </is>
      </c>
      <c r="H2" s="8" t="inlineStr"/>
      <c r="I2" s="8" t="inlineStr">
        <is>
          <t>MCH50 is in the wallet with its rule and end date. The button changes to Claimed and a second claim is not possible.</t>
        </is>
      </c>
      <c r="J2" s="8" t="inlineStr"/>
      <c r="K2" s="5" t="inlineStr">
        <is>
          <t xml:space="preserve">The current cart/checkout has no claimable voucher wallet, voucher codes, stacking or voucher redemption. The voucher behavior required by this case is unavailable.</t>
        </is>
      </c>
      <c r="L2" s="5" t="inlineStr">
        <is>
          <t xml:space="preserve">Fail</t>
        </is>
      </c>
      <c r="M2" s="5" t="inlineStr">
        <is>
          <t xml:space="preserve">Implementation review: frontend/src/pages/CartPage.tsx:12. Required behavior in this case is absent or differs. This finding is not a claimed browser execution.</t>
        </is>
      </c>
    </row>
    <row r="3" ht="29.5" customHeight="1">
      <c r="A3" s="7" t="inlineStr">
        <is>
          <t>BUY-VOU-002</t>
        </is>
      </c>
      <c r="B3" s="8" t="inlineStr">
        <is>
          <t>Vouchers &amp; Promotions</t>
        </is>
      </c>
      <c r="C3" s="8" t="inlineStr">
        <is>
          <t>Apply a store voucher</t>
        </is>
      </c>
      <c r="D3" s="8" t="inlineStr">
        <is>
          <t>Use Case Testing</t>
        </is>
      </c>
      <c r="E3" s="8" t="inlineStr">
        <is>
          <t>High</t>
        </is>
      </c>
      <c r="F3" s="8" t="inlineStr">
        <is>
          <t>Logged in as Buyer 1. MCH50 claimed. Cart: P-02 (₱450).</t>
        </is>
      </c>
      <c r="G3" s="8" t="inlineStr">
        <is>
          <t>1. Open checkout and apply MCH50.</t>
        </is>
      </c>
      <c r="H3" s="8" t="inlineStr"/>
      <c r="I3" s="8" t="inlineStr">
        <is>
          <t>Seller 1's group shows −₱50.00 and the total is ₱450 + ₱50 shipping − ₱50 = ₱450.00.</t>
        </is>
      </c>
      <c r="J3" s="8" t="inlineStr"/>
      <c r="K3" s="5" t="inlineStr">
        <is>
          <t xml:space="preserve">Could not complete apply a store voucher: the required voucher cannot be created/claimed/applied. The specified voucher limits, stacking, expiry, cap or restoration cannot be evaluated without that prerequisite.</t>
        </is>
      </c>
      <c r="L3" s="5" t="inlineStr">
        <is>
          <t xml:space="preserve">Blocked</t>
        </is>
      </c>
      <c r="M3"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4" ht="93.25" customHeight="1">
      <c r="A4" s="7" t="inlineStr">
        <is>
          <t>BUY-VOU-003</t>
        </is>
      </c>
      <c r="B4" s="8" t="inlineStr">
        <is>
          <t>Vouchers &amp; Promotions</t>
        </is>
      </c>
      <c r="C4" s="8" t="inlineStr">
        <is>
          <t>Stacking per the agreed rule</t>
        </is>
      </c>
      <c r="D4" s="8" t="inlineStr">
        <is>
          <t>Decision Table</t>
        </is>
      </c>
      <c r="E4" s="8" t="inlineStr">
        <is>
          <t>High</t>
        </is>
      </c>
      <c r="F4" s="8" t="inlineStr">
        <is>
          <t>Logged in as Buyer 1. Cart holds the worked checkout example items (Seller 1: Tote Natural-M, Rattan Basket; Seller 2: USB-C Charger). MCH50, PLAT100 and FREESHIP are claimed. ADDR-1 is default.</t>
        </is>
      </c>
      <c r="G4" s="8" t="inlineStr">
        <is>
          <t>1. Apply MCH50, PLAT100 and FREESHIP.
2. Select MCH10 for Seller 1 as well.
3. Apply RVSECRET to Seller 2.</t>
        </is>
      </c>
      <c r="H4" s="8" t="inlineStr">
        <is>
          <t>Worked checkout example</t>
        </is>
      </c>
      <c r="I4" s="8" t="inlineStr">
        <is>
          <t>MCH50 + PLAT100 + FREESHIP apply; total ₱1,083.00. Selecting MCH10 replaces MCH50 (Seller 1 ₱699 ≥ ₱500 → −₱69.90; total ₱1,063.10); never both. RVSECRET is not applicable (Seller 2 subtotal ₱399 &lt; ₱1,000).</t>
        </is>
      </c>
      <c r="J4" s="8" t="inlineStr">
        <is>
          <t>A2</t>
        </is>
      </c>
      <c r="K4" s="5" t="inlineStr">
        <is>
          <t xml:space="preserve">Could not complete stacking per the agreed rule: the required voucher cannot be created/claimed/applied. The specified voucher limits, stacking, expiry, cap or restoration cannot be evaluated without that prerequisite.</t>
        </is>
      </c>
      <c r="L4" s="5" t="inlineStr">
        <is>
          <t xml:space="preserve">Blocked</t>
        </is>
      </c>
      <c r="M4"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5" ht="80.5" customHeight="1">
      <c r="A5" s="7" t="inlineStr">
        <is>
          <t>BUY-VOU-004</t>
        </is>
      </c>
      <c r="B5" s="8" t="inlineStr">
        <is>
          <t>Vouchers &amp; Promotions</t>
        </is>
      </c>
      <c r="C5" s="8" t="inlineStr">
        <is>
          <t>Minimum spend at the boundary</t>
        </is>
      </c>
      <c r="D5" s="8" t="inlineStr">
        <is>
          <t>Boundary Value Analysis</t>
        </is>
      </c>
      <c r="E5" s="8" t="inlineStr">
        <is>
          <t>High</t>
        </is>
      </c>
      <c r="F5" s="8" t="inlineStr">
        <is>
          <t>Logged in as Buyer 1. MCH50 claimed (min ₱300). Only check the checkout page; do not place these orders (MCH50 is 1 per buyer).</t>
        </is>
      </c>
      <c r="G5" s="8" t="inlineStr">
        <is>
          <t>1. Seller 1 sets P-02 price to ₱299.99. Check out 1 × P-02 and try MCH50.
2. Seller 1 sets the price to ₱300.00. Check out again.
3. Seller 1 sets the price to ₱300.01. Check out again.</t>
        </is>
      </c>
      <c r="H5" s="8" t="inlineStr">
        <is>
          <t>P-02 at ₱299.99 / ₱300.00 / ₱300.01</t>
        </is>
      </c>
      <c r="I5" s="8" t="inlineStr">
        <is>
          <t>₱299.99: not applicable, with 'Spend ₱0.01 more'. ₱300.00 and ₱300.01: ₱50.00 off.</t>
        </is>
      </c>
      <c r="J5" s="8" t="inlineStr"/>
      <c r="K5" s="5" t="inlineStr">
        <is>
          <t xml:space="preserve">Could not complete minimum spend at the boundary: the required voucher cannot be created/claimed/applied. The specified voucher limits, stacking, expiry, cap or restoration cannot be evaluated without that prerequisite.</t>
        </is>
      </c>
      <c r="L5" s="5" t="inlineStr">
        <is>
          <t xml:space="preserve">Blocked</t>
        </is>
      </c>
      <c r="M5"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6" ht="55" customHeight="1">
      <c r="A6" s="7" t="inlineStr">
        <is>
          <t>BUY-VOU-005</t>
        </is>
      </c>
      <c r="B6" s="8" t="inlineStr">
        <is>
          <t>Vouchers &amp; Promotions</t>
        </is>
      </c>
      <c r="C6" s="8" t="inlineStr">
        <is>
          <t>Expired, not started, limit reached, invalid code</t>
        </is>
      </c>
      <c r="D6" s="8" t="inlineStr">
        <is>
          <t>Equivalence Partitioning</t>
        </is>
      </c>
      <c r="E6" s="8" t="inlineStr">
        <is>
          <t>High</t>
        </is>
      </c>
      <c r="F6" s="8" t="inlineStr">
        <is>
          <t>Logged in as Buyer 1.</t>
        </is>
      </c>
      <c r="G6" s="8" t="inlineStr">
        <is>
          <t>1. Try to apply each voucher.</t>
        </is>
      </c>
      <c r="H6" s="8" t="inlineStr">
        <is>
          <t>MCHOLD (expired)
MCHSOON (starts tomorrow)
MCHMAX (total limit reached)
NOSUCHCODE (invalid)</t>
        </is>
      </c>
      <c r="I6" s="8" t="inlineStr">
        <is>
          <t>Each is rejected with its own specific message. No discount is applied.</t>
        </is>
      </c>
      <c r="J6" s="8" t="inlineStr"/>
      <c r="K6" s="5" t="inlineStr">
        <is>
          <t xml:space="preserve">Could not complete expired, not started, limit reached, invalid code: the required voucher cannot be created/claimed/applied. The specified voucher limits, stacking, expiry, cap or restoration cannot be evaluated without that prerequisite.</t>
        </is>
      </c>
      <c r="L6" s="5" t="inlineStr">
        <is>
          <t xml:space="preserve">Blocked</t>
        </is>
      </c>
      <c r="M6"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7" ht="29.5" customHeight="1">
      <c r="A7" s="7" t="inlineStr">
        <is>
          <t>BUY-VOU-006</t>
        </is>
      </c>
      <c r="B7" s="8" t="inlineStr">
        <is>
          <t>Vouchers &amp; Promotions</t>
        </is>
      </c>
      <c r="C7" s="8" t="inlineStr">
        <is>
          <t>Per-buyer limit reached</t>
        </is>
      </c>
      <c r="D7" s="8" t="inlineStr">
        <is>
          <t>Equivalence Partitioning</t>
        </is>
      </c>
      <c r="E7" s="8" t="inlineStr">
        <is>
          <t>Medium</t>
        </is>
      </c>
      <c r="F7" s="8" t="inlineStr">
        <is>
          <t>Buyer 1 used MCH50 on a Completed order.</t>
        </is>
      </c>
      <c r="G7" s="8" t="inlineStr">
        <is>
          <t>1. Try MCH50 on a new order.</t>
        </is>
      </c>
      <c r="H7" s="8" t="inlineStr"/>
      <c r="I7" s="8" t="inlineStr">
        <is>
          <t>Rejected: already used. Buyer 2 can still use it.</t>
        </is>
      </c>
      <c r="J7" s="8" t="inlineStr"/>
      <c r="K7" s="5" t="inlineStr">
        <is>
          <t xml:space="preserve">Could not complete per-buyer limit reached: the required voucher cannot be created/claimed/applied. The specified voucher limits, stacking, expiry, cap or restoration cannot be evaluated without that prerequisite.</t>
        </is>
      </c>
      <c r="L7" s="5" t="inlineStr">
        <is>
          <t xml:space="preserve">Blocked</t>
        </is>
      </c>
      <c r="M7"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8" ht="42.25" customHeight="1">
      <c r="A8" s="7" t="inlineStr">
        <is>
          <t>BUY-VOU-007</t>
        </is>
      </c>
      <c r="B8" s="8" t="inlineStr">
        <is>
          <t>Vouchers &amp; Promotions</t>
        </is>
      </c>
      <c r="C8" s="8" t="inlineStr">
        <is>
          <t>Removing an item drops below the minimum spend</t>
        </is>
      </c>
      <c r="D8" s="8" t="inlineStr">
        <is>
          <t>State Transition</t>
        </is>
      </c>
      <c r="E8" s="8" t="inlineStr">
        <is>
          <t>High</t>
        </is>
      </c>
      <c r="F8" s="8" t="inlineStr">
        <is>
          <t>MCH50 applied to a ₱450 checkout (P-02).</t>
        </is>
      </c>
      <c r="G8" s="8" t="inlineStr">
        <is>
          <t>1. Go back, replace P-02 with P-01 Natural-S (₱199).
2. Return to checkout.</t>
        </is>
      </c>
      <c r="H8" s="8" t="inlineStr"/>
      <c r="I8" s="8" t="inlineStr">
        <is>
          <t>MCH50 is removed automatically with a notice. Total is ₱199 + ₱50 = ₱249.00.</t>
        </is>
      </c>
      <c r="J8" s="8" t="inlineStr"/>
      <c r="K8" s="5" t="inlineStr">
        <is>
          <t xml:space="preserve">Could not complete removing an item drops below the minimum spend: the required voucher cannot be created/claimed/applied. The specified voucher limits, stacking, expiry, cap or restoration cannot be evaluated without that prerequisite.</t>
        </is>
      </c>
      <c r="L8" s="5" t="inlineStr">
        <is>
          <t xml:space="preserve">Blocked</t>
        </is>
      </c>
      <c r="M8"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9" ht="67.75" customHeight="1">
      <c r="A9" s="7" t="inlineStr">
        <is>
          <t>BUY-VOU-008</t>
        </is>
      </c>
      <c r="B9" s="8" t="inlineStr">
        <is>
          <t>Vouchers &amp; Promotions</t>
        </is>
      </c>
      <c r="C9" s="8" t="inlineStr">
        <is>
          <t>Percentage voucher respects its cap</t>
        </is>
      </c>
      <c r="D9" s="8" t="inlineStr">
        <is>
          <t>Boundary Value Analysis</t>
        </is>
      </c>
      <c r="E9" s="8" t="inlineStr">
        <is>
          <t>High</t>
        </is>
      </c>
      <c r="F9" s="8" t="inlineStr">
        <is>
          <t>Logged in as Buyer 1. MCH10 claimed (10%, cap ₱100, min ₱500). Only check the checkout page; do not place these orders.</t>
        </is>
      </c>
      <c r="G9" s="8" t="inlineStr">
        <is>
          <t>1. Seller 1 sets P-02 price to ₱499.99; check out 1 × P-02 with MCH10.
2. Set ₱999.00 and check out.
3. Set ₱1,000.00 and check out.
4. Check out 1 × P-03 (₱1,250).</t>
        </is>
      </c>
      <c r="H9" s="8" t="inlineStr">
        <is>
          <t>P-02 at ₱499.99 / ₱999.00 / ₱1,000.00; P-03</t>
        </is>
      </c>
      <c r="I9" s="8" t="inlineStr">
        <is>
          <t>₱499.99: not applicable. ₱999.00 → ₱99.90 off. ₱1,000.00 → ₱100.00 off. ₱1,250 → ₱100.00 off (cap, not ₱125.00).</t>
        </is>
      </c>
      <c r="J9" s="8" t="inlineStr"/>
      <c r="K9" s="5" t="inlineStr">
        <is>
          <t xml:space="preserve">Could not complete percentage voucher respects its cap: the required voucher cannot be created/claimed/applied. The specified voucher limits, stacking, expiry, cap or restoration cannot be evaluated without that prerequisite.</t>
        </is>
      </c>
      <c r="L9" s="5" t="inlineStr">
        <is>
          <t xml:space="preserve">Blocked</t>
        </is>
      </c>
      <c r="M9"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10" ht="55" customHeight="1">
      <c r="A10" s="7" t="inlineStr">
        <is>
          <t>BUY-VOU-009</t>
        </is>
      </c>
      <c r="B10" s="8" t="inlineStr">
        <is>
          <t>Vouchers &amp; Promotions</t>
        </is>
      </c>
      <c r="C10" s="8" t="inlineStr">
        <is>
          <t>Shipping voucher larger than shipping</t>
        </is>
      </c>
      <c r="D10" s="8" t="inlineStr">
        <is>
          <t>Boundary Value Analysis</t>
        </is>
      </c>
      <c r="E10" s="8" t="inlineStr">
        <is>
          <t>Medium</t>
        </is>
      </c>
      <c r="F10" s="8" t="inlineStr">
        <is>
          <t>Logged in as Buyer 1. FREESHIP claimed (up to ₱50, min ₱300).</t>
        </is>
      </c>
      <c r="G10" s="8" t="inlineStr">
        <is>
          <t>1. Check out 1 × P-02 to ADDR-1 (0.8 kg, ₱50 shipping) with FREESHIP.
2. Check out P-02 + P-01 Natural-M to ADDR-1 (1.2 kg, ₱65 shipping) with FREESHIP.</t>
        </is>
      </c>
      <c r="H10" s="8" t="inlineStr"/>
      <c r="I10" s="8" t="inlineStr">
        <is>
          <t>₱50 shipping → ₱0.00 shipping (not negative). ₱65 shipping → ₱15.00. Merchandise amounts are unchanged.</t>
        </is>
      </c>
      <c r="J10" s="8" t="inlineStr"/>
      <c r="K10" s="5" t="inlineStr">
        <is>
          <t xml:space="preserve">Could not complete shipping voucher larger than shipping: the required voucher cannot be created/claimed/applied. The specified voucher limits, stacking, expiry, cap or restoration cannot be evaluated without that prerequisite.</t>
        </is>
      </c>
      <c r="L10" s="5" t="inlineStr">
        <is>
          <t xml:space="preserve">Blocked</t>
        </is>
      </c>
      <c r="M10"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11" ht="42.25" customHeight="1">
      <c r="A11" s="7" t="inlineStr">
        <is>
          <t>BUY-VOU-010</t>
        </is>
      </c>
      <c r="B11" s="8" t="inlineStr">
        <is>
          <t>Vouchers &amp; Promotions</t>
        </is>
      </c>
      <c r="C11" s="8" t="inlineStr">
        <is>
          <t>Total never negative</t>
        </is>
      </c>
      <c r="D11" s="8" t="inlineStr">
        <is>
          <t>Error Guessing</t>
        </is>
      </c>
      <c r="E11" s="8" t="inlineStr">
        <is>
          <t>Medium</t>
        </is>
      </c>
      <c r="F11" s="8" t="inlineStr">
        <is>
          <t>Seller 1 sets P-02 price to ₱100.00 and creates voucher MCHT100: ₱100 off, min spend ₱100.</t>
        </is>
      </c>
      <c r="G11" s="8" t="inlineStr">
        <is>
          <t>1. Check out 1 × P-02 with MCHT100.</t>
        </is>
      </c>
      <c r="H11" s="8" t="inlineStr"/>
      <c r="I11" s="8" t="inlineStr">
        <is>
          <t>Merchandise total is ₱0.00, never negative; shipping is still charged.</t>
        </is>
      </c>
      <c r="J11" s="8" t="inlineStr"/>
      <c r="K11" s="5" t="inlineStr">
        <is>
          <t xml:space="preserve">Could not complete total never negative: the required voucher cannot be created/claimed/applied. The specified voucher limits, stacking, expiry, cap or restoration cannot be evaluated without that prerequisite.</t>
        </is>
      </c>
      <c r="L11" s="5" t="inlineStr">
        <is>
          <t xml:space="preserve">Blocked</t>
        </is>
      </c>
      <c r="M11"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12" ht="29.5" customHeight="1">
      <c r="A12" s="7" t="inlineStr">
        <is>
          <t>BUY-VOU-011</t>
        </is>
      </c>
      <c r="B12" s="8" t="inlineStr">
        <is>
          <t>Vouchers &amp; Promotions</t>
        </is>
      </c>
      <c r="C12" s="8" t="inlineStr">
        <is>
          <t>Voucher on items already on sale</t>
        </is>
      </c>
      <c r="D12" s="8" t="inlineStr">
        <is>
          <t>Decision Table</t>
        </is>
      </c>
      <c r="E12" s="8" t="inlineStr">
        <is>
          <t>Medium</t>
        </is>
      </c>
      <c r="F12" s="8" t="inlineStr">
        <is>
          <t>P-02 on sale at ₱360. MCH50 claimed.</t>
        </is>
      </c>
      <c r="G12" s="8" t="inlineStr">
        <is>
          <t>1. Check out 1 × P-02 with MCH50.</t>
        </is>
      </c>
      <c r="H12" s="8" t="inlineStr"/>
      <c r="I12" s="8" t="inlineStr">
        <is>
          <t>MCH50 applies (₱360 ≥ ₱300). Merchandise ₱310.00, total ₱360.00 with ₱50 shipping.</t>
        </is>
      </c>
      <c r="J12" s="8" t="inlineStr">
        <is>
          <t>A4</t>
        </is>
      </c>
      <c r="K12" s="5" t="inlineStr">
        <is>
          <t xml:space="preserve">Could not complete voucher on items already on sale: the required voucher cannot be created/claimed/applied. The specified voucher limits, stacking, expiry, cap or restoration cannot be evaluated without that prerequisite.</t>
        </is>
      </c>
      <c r="L12" s="5" t="inlineStr">
        <is>
          <t xml:space="preserve">Blocked</t>
        </is>
      </c>
      <c r="M12"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13" ht="29.5" customHeight="1">
      <c r="A13" s="7" t="inlineStr">
        <is>
          <t>BUY-VOU-012</t>
        </is>
      </c>
      <c r="B13" s="8" t="inlineStr">
        <is>
          <t>Vouchers &amp; Promotions</t>
        </is>
      </c>
      <c r="C13" s="8" t="inlineStr">
        <is>
          <t>Voucher returned after cancellation</t>
        </is>
      </c>
      <c r="D13" s="8" t="inlineStr">
        <is>
          <t>State Transition</t>
        </is>
      </c>
      <c r="E13" s="8" t="inlineStr">
        <is>
          <t>Medium</t>
        </is>
      </c>
      <c r="F13" s="8" t="inlineStr">
        <is>
          <t>An order used MCH50 and is still cancellable.</t>
        </is>
      </c>
      <c r="G13" s="8" t="inlineStr">
        <is>
          <t>1. Cancel the order.
2. Open My Vouchers.</t>
        </is>
      </c>
      <c r="H13" s="8" t="inlineStr"/>
      <c r="I13" s="8" t="inlineStr">
        <is>
          <t>MCH50 is back in the wallet, usable again before it expires.</t>
        </is>
      </c>
      <c r="J13" s="8" t="inlineStr">
        <is>
          <t>A21</t>
        </is>
      </c>
      <c r="K13" s="5" t="inlineStr">
        <is>
          <t xml:space="preserve">Could not complete voucher returned after cancellation: the required voucher cannot be created/claimed/applied. The specified voucher limits, stacking, expiry, cap or restoration cannot be evaluated without that prerequisite.</t>
        </is>
      </c>
      <c r="L13" s="5" t="inlineStr">
        <is>
          <t xml:space="preserve">Blocked</t>
        </is>
      </c>
      <c r="M13"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sheetData>
  <autoFilter ref="A1:M13"/>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93.25" customHeight="1">
      <c r="A2" s="7" t="inlineStr">
        <is>
          <t>BUY-CHK-001</t>
        </is>
      </c>
      <c r="B2" s="8" t="inlineStr">
        <is>
          <t>Checkout</t>
        </is>
      </c>
      <c r="C2" s="8" t="inlineStr">
        <is>
          <t>Checkout with the worked example</t>
        </is>
      </c>
      <c r="D2" s="8" t="inlineStr">
        <is>
          <t>Use Case Testing</t>
        </is>
      </c>
      <c r="E2" s="8" t="inlineStr">
        <is>
          <t>High</t>
        </is>
      </c>
      <c r="F2" s="8" t="inlineStr">
        <is>
          <t>Logged in as Buyer 1. Cart holds the worked checkout example items (Seller 1: Tote Natural-M, Rattan Basket; Seller 2: USB-C Charger). MCH50, PLAT100 and FREESHIP are claimed. ADDR-1 is default.</t>
        </is>
      </c>
      <c r="G2" s="8" t="inlineStr">
        <is>
          <t>1. Open checkout with ADDR-1.
2. Apply MCH50, PLAT100 and FREESHIP.
3. Choose COD and click Place Order.
4. Open both new orders.</t>
        </is>
      </c>
      <c r="H2" s="8" t="inlineStr">
        <is>
          <t>Worked checkout example</t>
        </is>
      </c>
      <c r="I2" s="8" t="inlineStr">
        <is>
          <t>Summary: merchandise ₱1,098.00, shipping ₱185.00 (₱65 + ₱120), store voucher −₱50.00, platform voucher −₱100.00, shipping voucher −₱50.00, total ₱1,083.00. Two orders are created, one per store, whose totals add up to ₱1,083.00. Cart no longer has these items.</t>
        </is>
      </c>
      <c r="J2" s="8" t="inlineStr">
        <is>
          <t>A2, A8, A20</t>
        </is>
      </c>
      <c r="K2" s="5" t="inlineStr">
        <is>
          <t xml:space="preserve">Could not complete checkout with the worked example: the worked example requires three claimed vouchers, but no voucher workflow can produce them; the specified checkout fixture and total cannot be exercised.</t>
        </is>
      </c>
      <c r="L2" s="5" t="inlineStr">
        <is>
          <t xml:space="preserve">Blocked</t>
        </is>
      </c>
      <c r="M2" s="5" t="inlineStr">
        <is>
          <t xml:space="preserve">Blocked prerequisite: SEL-VOU-001, BUY-VOU-001. The required setup/action was unavailable, so the dependent expected result was not verified. Evidence reviewed from the existing runtime/implementation findings; this status review did not rerun the system.</t>
        </is>
      </c>
    </row>
    <row r="3" ht="29.5" customHeight="1">
      <c r="A3" s="7" t="inlineStr">
        <is>
          <t>BUY-CHK-002</t>
        </is>
      </c>
      <c r="B3" s="8" t="inlineStr">
        <is>
          <t>Checkout</t>
        </is>
      </c>
      <c r="C3" s="8" t="inlineStr">
        <is>
          <t>Shipping fee per store and per address</t>
        </is>
      </c>
      <c r="D3" s="8" t="inlineStr">
        <is>
          <t>Equivalence Partitioning</t>
        </is>
      </c>
      <c r="E3" s="8" t="inlineStr">
        <is>
          <t>High</t>
        </is>
      </c>
      <c r="F3" s="8" t="inlineStr">
        <is>
          <t>Logged in as Buyer 1.</t>
        </is>
      </c>
      <c r="G3" s="8" t="inlineStr">
        <is>
          <t>1. Check out P-02 with ADDR-1.
2. Switch to ADDR-3.</t>
        </is>
      </c>
      <c r="H3" s="8" t="inlineStr"/>
      <c r="I3" s="8" t="inlineStr">
        <is>
          <t>ADDR-1 (NCR): ₱50.00. ADDR-3 (Visayas): ₱120.00. The total updates immediately.</t>
        </is>
      </c>
      <c r="J3" s="8" t="inlineStr">
        <is>
          <t>A20</t>
        </is>
      </c>
      <c r="K3" s="5" t="inlineStr">
        <is>
          <t xml:space="preserve">NCR delivery fee 50; Cebu/Visayas fee 50; expected 50.00 and 120.00. Both requests returned 201/201.</t>
        </is>
      </c>
      <c r="L3" s="5" t="inlineStr">
        <is>
          <t xml:space="preserve">Fail</t>
        </is>
      </c>
      <c r="M3" s="5" t="inlineStr">
        <is>
          <t xml:space="preserve">Tested through the local system API on isolated velure_blackbox; judged against the workbook expected result.</t>
        </is>
      </c>
    </row>
    <row r="4" ht="29.5" customHeight="1">
      <c r="A4" s="7" t="inlineStr">
        <is>
          <t>BUY-CHK-003</t>
        </is>
      </c>
      <c r="B4" s="8" t="inlineStr">
        <is>
          <t>Checkout</t>
        </is>
      </c>
      <c r="C4" s="8" t="inlineStr">
        <is>
          <t>Shipping weight at the 1 kg boundary</t>
        </is>
      </c>
      <c r="D4" s="8" t="inlineStr">
        <is>
          <t>Boundary Value Analysis</t>
        </is>
      </c>
      <c r="E4" s="8" t="inlineStr">
        <is>
          <t>Medium</t>
        </is>
      </c>
      <c r="F4" s="8" t="inlineStr">
        <is>
          <t>Logged in as Buyer 2 (ADDR-3, Visayas).</t>
        </is>
      </c>
      <c r="G4" s="8" t="inlineStr">
        <is>
          <t>1. Check out 5 × P-05 from Seller 2.
2. Change the quantity to 6.</t>
        </is>
      </c>
      <c r="H4" s="8" t="inlineStr">
        <is>
          <t>P-05 is 0.2 kg: 5 units = 1.0 kg, 6 units = 1.2 kg</t>
        </is>
      </c>
      <c r="I4" s="8" t="inlineStr">
        <is>
          <t>1.0 kg is charged as 1 kg: ₱60.00. 1.2 kg is charged as 2 kg: ₱80.00.</t>
        </is>
      </c>
      <c r="J4" s="8" t="inlineStr">
        <is>
          <t>A20</t>
        </is>
      </c>
      <c r="K4" s="5" t="inlineStr">
        <is>
          <t xml:space="preserve">Delivery uses one fixed fee per shop, independent of parcel weight; config/shipping.php defaults to 50.00. There is no 1 kg rounding rule or 60.00/80.00 tier for 1.0/1.2 kg.</t>
        </is>
      </c>
      <c r="L4" s="5" t="inlineStr">
        <is>
          <t xml:space="preserve">Fail</t>
        </is>
      </c>
      <c r="M4" s="5" t="inlineStr">
        <is>
          <t xml:space="preserve">Implementation review: backend/config/shipping.php:17. Required behavior in this case is absent or differs. This finding is not a claimed browser execution.</t>
        </is>
      </c>
    </row>
    <row r="5" ht="42.25" customHeight="1">
      <c r="A5" s="7" t="inlineStr">
        <is>
          <t>BUY-CHK-004</t>
        </is>
      </c>
      <c r="B5" s="8" t="inlineStr">
        <is>
          <t>Checkout</t>
        </is>
      </c>
      <c r="C5" s="8" t="inlineStr">
        <is>
          <t>Unserviceable address</t>
        </is>
      </c>
      <c r="D5" s="8" t="inlineStr">
        <is>
          <t>Equivalence Partitioning</t>
        </is>
      </c>
      <c r="E5" s="8" t="inlineStr">
        <is>
          <t>High</t>
        </is>
      </c>
      <c r="F5" s="8" t="inlineStr">
        <is>
          <t>Logged in as Buyer 1.</t>
        </is>
      </c>
      <c r="G5" s="8" t="inlineStr">
        <is>
          <t>1. Select ADDR-4 (Itbayat, Batanes).</t>
        </is>
      </c>
      <c r="H5" s="8" t="inlineStr"/>
      <c r="I5" s="8" t="inlineStr">
        <is>
          <t>A message says the area is not serviceable and Place Order is disabled. No order can be created.</t>
        </is>
      </c>
      <c r="J5" s="8" t="inlineStr"/>
      <c r="K5" s="5" t="inlineStr">
        <is>
          <t xml:space="preserve">CourierAssigner falls back to a default courier when an address has no coverage, rather than refusing checkout. No serviceability rejection is made before placing the order; the Itbayat no-order requirement is unmet.</t>
        </is>
      </c>
      <c r="L5" s="5" t="inlineStr">
        <is>
          <t xml:space="preserve">Fail</t>
        </is>
      </c>
      <c r="M5" s="5" t="inlineStr">
        <is>
          <t xml:space="preserve">Implementation review: backend/app/Services/CourierAssigner.php:41. Required behavior in this case is absent or differs. This finding is not a claimed browser execution.</t>
        </is>
      </c>
    </row>
    <row r="6" ht="42.25" customHeight="1">
      <c r="A6" s="7" t="inlineStr">
        <is>
          <t>BUY-CHK-005</t>
        </is>
      </c>
      <c r="B6" s="8" t="inlineStr">
        <is>
          <t>Checkout</t>
        </is>
      </c>
      <c r="C6" s="8" t="inlineStr">
        <is>
          <t>Note to seller length</t>
        </is>
      </c>
      <c r="D6" s="8" t="inlineStr">
        <is>
          <t>Boundary Value Analysis</t>
        </is>
      </c>
      <c r="E6" s="8" t="inlineStr">
        <is>
          <t>Low</t>
        </is>
      </c>
      <c r="F6" s="8" t="inlineStr">
        <is>
          <t>Logged in as Buyer 1.</t>
        </is>
      </c>
      <c r="G6" s="8" t="inlineStr">
        <is>
          <t>1. Enter 200 characters and place the order.
2. Try 201 characters.</t>
        </is>
      </c>
      <c r="H6" s="8" t="inlineStr">
        <is>
          <t>Note: Paki-wrap po as gift … (to 200)</t>
        </is>
      </c>
      <c r="I6" s="8" t="inlineStr">
        <is>
          <t>200 characters are saved and shown in full on the seller's order. 201 cannot be entered or is rejected.</t>
        </is>
      </c>
      <c r="J6" s="8" t="inlineStr">
        <is>
          <t>A25</t>
        </is>
      </c>
      <c r="K6" s="5" t="inlineStr">
        <is>
          <t xml:space="preserve">200-char note: 201; 201-char note: 201, persisted length 201. Expected rejecting 201; implemented maximum is 500.</t>
        </is>
      </c>
      <c r="L6" s="5" t="inlineStr">
        <is>
          <t xml:space="preserve">Fail</t>
        </is>
      </c>
      <c r="M6" s="5" t="inlineStr">
        <is>
          <t xml:space="preserve">Tested through the local system API on isolated velure_blackbox; judged against the workbook expected result.</t>
        </is>
      </c>
    </row>
    <row r="7" ht="29.5" customHeight="1">
      <c r="A7" s="7" t="inlineStr">
        <is>
          <t>BUY-CHK-006</t>
        </is>
      </c>
      <c r="B7" s="8" t="inlineStr">
        <is>
          <t>Checkout</t>
        </is>
      </c>
      <c r="C7" s="8" t="inlineStr">
        <is>
          <t>No payment method selected</t>
        </is>
      </c>
      <c r="D7" s="8" t="inlineStr">
        <is>
          <t>Equivalence Partitioning</t>
        </is>
      </c>
      <c r="E7" s="8" t="inlineStr">
        <is>
          <t>Medium</t>
        </is>
      </c>
      <c r="F7" s="8" t="inlineStr">
        <is>
          <t>Logged in as Buyer 1.</t>
        </is>
      </c>
      <c r="G7" s="8" t="inlineStr">
        <is>
          <t>1. Clear the payment method (if possible) and click Place Order.</t>
        </is>
      </c>
      <c r="H7" s="8" t="inlineStr"/>
      <c r="I7" s="8" t="inlineStr">
        <is>
          <t>Blocked until a payment method is chosen.</t>
        </is>
      </c>
      <c r="J7" s="8" t="inlineStr"/>
      <c r="K7" s="5" t="inlineStr">
        <is>
          <t xml:space="preserve">Empty payment method returned 422; ["The payment method field is required."]. No order created.</t>
        </is>
      </c>
      <c r="L7" s="5" t="inlineStr">
        <is>
          <t xml:space="preserve">Pass</t>
        </is>
      </c>
      <c r="M7" s="5" t="inlineStr">
        <is>
          <t xml:space="preserve">Tested through the local system API on isolated velure_blackbox; judged against the workbook expected result.</t>
        </is>
      </c>
    </row>
    <row r="8" ht="42.25" customHeight="1">
      <c r="A8" s="7" t="inlineStr">
        <is>
          <t>BUY-CHK-007</t>
        </is>
      </c>
      <c r="B8" s="8" t="inlineStr">
        <is>
          <t>Checkout</t>
        </is>
      </c>
      <c r="C8" s="8" t="inlineStr">
        <is>
          <t>Double-click Place Order</t>
        </is>
      </c>
      <c r="D8" s="8" t="inlineStr">
        <is>
          <t>Error Guessing</t>
        </is>
      </c>
      <c r="E8" s="8" t="inlineStr">
        <is>
          <t>High</t>
        </is>
      </c>
      <c r="F8" s="8" t="inlineStr">
        <is>
          <t>Logged in as Buyer 1. P-02 stock is 20.</t>
        </is>
      </c>
      <c r="G8" s="8" t="inlineStr">
        <is>
          <t>1. Double-click Place Order.
2. Press Back and click Place Order again.</t>
        </is>
      </c>
      <c r="H8" s="8" t="inlineStr"/>
      <c r="I8" s="8" t="inlineStr">
        <is>
          <t>Exactly one order exists. P-02 stock is 19. The resubmit shows the existing order or a message; it does not create another.</t>
        </is>
      </c>
      <c r="J8" s="8" t="inlineStr">
        <is>
          <t>A37</t>
        </is>
      </c>
      <c r="K8" s="5" t="inlineStr">
        <is>
          <t xml:space="preserve">Identical request replay created order 5 (201) and order 6 (201); server has no checkout idempotency guard.</t>
        </is>
      </c>
      <c r="L8" s="5" t="inlineStr">
        <is>
          <t xml:space="preserve">Fail</t>
        </is>
      </c>
      <c r="M8" s="5" t="inlineStr">
        <is>
          <t xml:space="preserve">API repeat-submit tested; browser button disabling alone does not prevent request replay.</t>
        </is>
      </c>
    </row>
    <row r="9" ht="42.25" customHeight="1">
      <c r="A9" s="7" t="inlineStr">
        <is>
          <t>BUY-CHK-008</t>
        </is>
      </c>
      <c r="B9" s="8" t="inlineStr">
        <is>
          <t>Checkout</t>
        </is>
      </c>
      <c r="C9" s="8" t="inlineStr">
        <is>
          <t>Price changed during checkout</t>
        </is>
      </c>
      <c r="D9" s="8" t="inlineStr">
        <is>
          <t>Error Guessing</t>
        </is>
      </c>
      <c r="E9" s="8" t="inlineStr">
        <is>
          <t>High</t>
        </is>
      </c>
      <c r="F9" s="8" t="inlineStr">
        <is>
          <t>Logged in as Buyer 1. Checkout page open with P-02 at ₱450.</t>
        </is>
      </c>
      <c r="G9" s="8" t="inlineStr">
        <is>
          <t>1. Seller 1 changes P-02 to ₱480.
2. Click Place Order.</t>
        </is>
      </c>
      <c r="H9" s="8" t="inlineStr"/>
      <c r="I9" s="8" t="inlineStr">
        <is>
          <t>The order is not placed at ₱450. A message shows the new price and the summary updates to ₱480 for the buyer to confirm.</t>
        </is>
      </c>
      <c r="J9" s="8" t="inlineStr"/>
      <c r="K9" s="5" t="inlineStr">
        <is>
          <t xml:space="preserve">Checkout recalculates prices from product/variant rows but has no submitted-price comparison or price-change acknowledgment. It places the order at the current server price without requiring the buyer to confirm the revised amount.</t>
        </is>
      </c>
      <c r="L9" s="5" t="inlineStr">
        <is>
          <t xml:space="preserve">Fail</t>
        </is>
      </c>
      <c r="M9" s="5" t="inlineStr">
        <is>
          <t xml:space="preserve">Implementation review: backend/app/Http/Controllers/Api/V1/BuyerOrderController.php:74. Required behavior in this case is absent or differs. This finding is not a claimed browser execution.</t>
        </is>
      </c>
    </row>
    <row r="10" ht="29.5" customHeight="1">
      <c r="A10" s="7" t="inlineStr">
        <is>
          <t>BUY-CHK-009</t>
        </is>
      </c>
      <c r="B10" s="8" t="inlineStr">
        <is>
          <t>Checkout</t>
        </is>
      </c>
      <c r="C10" s="8" t="inlineStr">
        <is>
          <t>Stock ran out during checkout</t>
        </is>
      </c>
      <c r="D10" s="8" t="inlineStr">
        <is>
          <t>Error Guessing</t>
        </is>
      </c>
      <c r="E10" s="8" t="inlineStr">
        <is>
          <t>High</t>
        </is>
      </c>
      <c r="F10" s="8" t="inlineStr">
        <is>
          <t>Buyer 1's checkout is open with P-03 (stock 1).</t>
        </is>
      </c>
      <c r="G10" s="8" t="inlineStr">
        <is>
          <t>1. Buyer 2 buys P-03 first.
2. Buyer 1 clicks Place Order.</t>
        </is>
      </c>
      <c r="H10" s="8" t="inlineStr"/>
      <c r="I10" s="8" t="inlineStr">
        <is>
          <t>Buyer 1's order is blocked with an out-of-stock message. Stock is 0.</t>
        </is>
      </c>
      <c r="J10" s="8" t="inlineStr">
        <is>
          <t>A3</t>
        </is>
      </c>
      <c r="K10" s="5" t="inlineStr">
        <is>
          <t xml:space="preserve">After other buyer consumed last P-03 unit, checkout returned 422: Insufficient stock for Capiz Shell Lamp (Standard). Stock remained zero.</t>
        </is>
      </c>
      <c r="L10" s="5" t="inlineStr">
        <is>
          <t xml:space="preserve">Pass</t>
        </is>
      </c>
      <c r="M10" s="5" t="inlineStr">
        <is>
          <t xml:space="preserve">Tested through the local system API on isolated velure_blackbox; judged against the workbook expected result.</t>
        </is>
      </c>
    </row>
    <row r="11" ht="42.25" customHeight="1">
      <c r="A11" s="7" t="inlineStr">
        <is>
          <t>BUY-CHK-010</t>
        </is>
      </c>
      <c r="B11" s="8" t="inlineStr">
        <is>
          <t>Checkout</t>
        </is>
      </c>
      <c r="C11" s="8" t="inlineStr">
        <is>
          <t>Voucher becomes invalid during checkout</t>
        </is>
      </c>
      <c r="D11" s="8" t="inlineStr">
        <is>
          <t>Error Guessing</t>
        </is>
      </c>
      <c r="E11" s="8" t="inlineStr">
        <is>
          <t>Medium</t>
        </is>
      </c>
      <c r="F11" s="8" t="inlineStr">
        <is>
          <t>Logged in as Buyer 1. MCH50 applied on the checkout page.</t>
        </is>
      </c>
      <c r="G11" s="8" t="inlineStr">
        <is>
          <t>1. Seller 1 ends MCH50.
2. Click Place Order.</t>
        </is>
      </c>
      <c r="H11" s="8" t="inlineStr"/>
      <c r="I11" s="8" t="inlineStr">
        <is>
          <t>The order is not placed with MCH50. A message says the voucher is no longer valid and the total is updated.</t>
        </is>
      </c>
      <c r="J11" s="8" t="inlineStr">
        <is>
          <t>A27</t>
        </is>
      </c>
      <c r="K11" s="5" t="inlineStr">
        <is>
          <t xml:space="preserve">Could not complete voucher becomes invalid during checkout: MCH50 cannot first be applied at checkout, so it cannot subsequently become invalid during that checkout.</t>
        </is>
      </c>
      <c r="L11" s="5" t="inlineStr">
        <is>
          <t xml:space="preserve">Blocked</t>
        </is>
      </c>
      <c r="M11" s="5" t="inlineStr">
        <is>
          <t xml:space="preserve">Blocked prerequisite: BUY-VOU-002. The required setup/action was unavailable, so the dependent expected result was not verified. Evidence reviewed from the existing runtime/implementation findings; this status review did not rerun the system.</t>
        </is>
      </c>
    </row>
    <row r="12" ht="42.25" customHeight="1">
      <c r="A12" s="7" t="inlineStr">
        <is>
          <t>BUY-CHK-011</t>
        </is>
      </c>
      <c r="B12" s="8" t="inlineStr">
        <is>
          <t>Checkout</t>
        </is>
      </c>
      <c r="C12" s="8" t="inlineStr">
        <is>
          <t>Tampered price or total in the request</t>
        </is>
      </c>
      <c r="D12" s="8" t="inlineStr">
        <is>
          <t>Error Guessing</t>
        </is>
      </c>
      <c r="E12" s="8" t="inlineStr">
        <is>
          <t>High</t>
        </is>
      </c>
      <c r="F12" s="8" t="inlineStr">
        <is>
          <t>Logged in as Buyer 1.</t>
        </is>
      </c>
      <c r="G12" s="8" t="inlineStr">
        <is>
          <t>1. Capture the Place Order request and change the item price or total to ₱1.00.
2. Send it.</t>
        </is>
      </c>
      <c r="H12" s="8" t="inlineStr"/>
      <c r="I12" s="8" t="inlineStr">
        <is>
          <t>The server ignores or rejects the tampered amount. Any created order uses the real price.</t>
        </is>
      </c>
      <c r="J12" s="8" t="inlineStr">
        <is>
          <t>A22</t>
        </is>
      </c>
      <c r="K12" s="5" t="inlineStr">
        <is>
          <t xml:space="preserve">Client sent total=0 and item price=0; server saved total=249, subtotal=199.</t>
        </is>
      </c>
      <c r="L12" s="5" t="inlineStr">
        <is>
          <t xml:space="preserve">Pass</t>
        </is>
      </c>
      <c r="M12" s="5" t="inlineStr">
        <is>
          <t xml:space="preserve">Expedited API test; browser controls not exercised.</t>
        </is>
      </c>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BUY-PAY-001</t>
        </is>
      </c>
      <c r="B2" s="8" t="inlineStr">
        <is>
          <t>Payment</t>
        </is>
      </c>
      <c r="C2" s="8" t="inlineStr">
        <is>
          <t>COD order</t>
        </is>
      </c>
      <c r="D2" s="8" t="inlineStr">
        <is>
          <t>Use Case Testing</t>
        </is>
      </c>
      <c r="E2" s="8" t="inlineStr">
        <is>
          <t>High</t>
        </is>
      </c>
      <c r="F2" s="8" t="inlineStr">
        <is>
          <t>Logged in as Buyer 1.</t>
        </is>
      </c>
      <c r="G2" s="8" t="inlineStr">
        <is>
          <t>1. Place an order for P-02 with COD.
2. Open the order.</t>
        </is>
      </c>
      <c r="H2" s="8" t="inlineStr"/>
      <c r="I2" s="8" t="inlineStr">
        <is>
          <t>The order goes straight to To Ship. Payment shows COD ₱500.00 to collect on delivery.</t>
        </is>
      </c>
      <c r="J2" s="8" t="inlineStr"/>
      <c r="K2" s="5" t="inlineStr">
        <is>
          <t xml:space="preserve">P-02 COD placement succeeded at total 500.00, but order starts PLACED/payment pending. BUYER_FILTER_GROUPS maps PLACED into To pay rather than immediately To ship, contrary to the required COD tab behavior.</t>
        </is>
      </c>
      <c r="L2" s="5" t="inlineStr">
        <is>
          <t xml:space="preserve">Fail</t>
        </is>
      </c>
      <c r="M2" s="5" t="inlineStr">
        <is>
          <t xml:space="preserve">Actual COD order API response plus frontend/src/utils/orderStatus.ts grouping reviewed. Earlier assumption that PLACED was in To ship was corrected.</t>
        </is>
      </c>
    </row>
    <row r="3" ht="42.25" customHeight="1">
      <c r="A3" s="7" t="inlineStr">
        <is>
          <t>BUY-PAY-002</t>
        </is>
      </c>
      <c r="B3" s="8" t="inlineStr">
        <is>
          <t>Payment</t>
        </is>
      </c>
      <c r="C3" s="8" t="inlineStr">
        <is>
          <t>E-wallet or card payment succeeds</t>
        </is>
      </c>
      <c r="D3" s="8" t="inlineStr">
        <is>
          <t>Use Case Testing</t>
        </is>
      </c>
      <c r="E3" s="8" t="inlineStr">
        <is>
          <t>High</t>
        </is>
      </c>
      <c r="F3" s="8" t="inlineStr">
        <is>
          <t>Logged in as Buyer 1.</t>
        </is>
      </c>
      <c r="G3" s="8" t="inlineStr">
        <is>
          <t>1. Choose the e-wallet (sandbox).
2. Complete payment.</t>
        </is>
      </c>
      <c r="H3" s="8" t="inlineStr">
        <is>
          <t>Use the gateway's sandbox account or test card</t>
        </is>
      </c>
      <c r="I3" s="8" t="inlineStr">
        <is>
          <t>The order moves To Pay → To Ship and stores a payment reference. The amount charged equals the order total exactly.</t>
        </is>
      </c>
      <c r="J3" s="8" t="inlineStr"/>
      <c r="K3" s="5" t="inlineStr">
        <is>
          <t xml:space="preserve">Payments are direct GCash receipt/reference uploads checked by the seller, or COD. No card/e-wallet gateway redirect, callback, gateway cancellation or Pay Again flow exists as required by this case.</t>
        </is>
      </c>
      <c r="L3" s="5" t="inlineStr">
        <is>
          <t xml:space="preserve">Fail</t>
        </is>
      </c>
      <c r="M3" s="5" t="inlineStr">
        <is>
          <t xml:space="preserve">Implementation review: backend/app/Http/Controllers/Api/V1/BuyerOrderController.php:35. Required behavior in this case is absent or differs. This finding is not a claimed browser execution.</t>
        </is>
      </c>
    </row>
    <row r="4" ht="42.25" customHeight="1">
      <c r="A4" s="7" t="inlineStr">
        <is>
          <t>BUY-PAY-003</t>
        </is>
      </c>
      <c r="B4" s="8" t="inlineStr">
        <is>
          <t>Payment</t>
        </is>
      </c>
      <c r="C4" s="8" t="inlineStr">
        <is>
          <t>Payment fails</t>
        </is>
      </c>
      <c r="D4" s="8" t="inlineStr">
        <is>
          <t>Equivalence Partitioning</t>
        </is>
      </c>
      <c r="E4" s="8" t="inlineStr">
        <is>
          <t>High</t>
        </is>
      </c>
      <c r="F4" s="8" t="inlineStr">
        <is>
          <t>Logged in as Buyer 1.</t>
        </is>
      </c>
      <c r="G4" s="8" t="inlineStr">
        <is>
          <t>1. Use the sandbox's declined card or failure option.</t>
        </is>
      </c>
      <c r="H4" s="8" t="inlineStr"/>
      <c r="I4" s="8" t="inlineStr">
        <is>
          <t>The order stays To Pay with 'Payment failed' and Pay Again. It is not marked paid and the seller cannot ship it.</t>
        </is>
      </c>
      <c r="J4" s="8" t="inlineStr"/>
      <c r="K4" s="5" t="inlineStr">
        <is>
          <t xml:space="preserve">Could not complete payment fails: the required gateway order/payment session is unavailable. Direct seller GCash receipts do not provide gateway failure, cancellation, callback or timed gateway-payment states.</t>
        </is>
      </c>
      <c r="L4" s="5" t="inlineStr">
        <is>
          <t xml:space="preserve">Blocked</t>
        </is>
      </c>
      <c r="M4" s="5" t="inlineStr">
        <is>
          <t xml:space="preserve">Blocked prerequisite: BUY-PAY-002. The required setup/action was unavailable, so the dependent expected result was not verified. Evidence reviewed from the existing runtime/implementation findings; this status review did not rerun the system.</t>
        </is>
      </c>
    </row>
    <row r="5" ht="29.5" customHeight="1">
      <c r="A5" s="7" t="inlineStr">
        <is>
          <t>BUY-PAY-004</t>
        </is>
      </c>
      <c r="B5" s="8" t="inlineStr">
        <is>
          <t>Payment</t>
        </is>
      </c>
      <c r="C5" s="8" t="inlineStr">
        <is>
          <t>Buyer cancels at the gateway</t>
        </is>
      </c>
      <c r="D5" s="8" t="inlineStr">
        <is>
          <t>Equivalence Partitioning</t>
        </is>
      </c>
      <c r="E5" s="8" t="inlineStr">
        <is>
          <t>Medium</t>
        </is>
      </c>
      <c r="F5" s="8" t="inlineStr">
        <is>
          <t>Logged in as Buyer 1.</t>
        </is>
      </c>
      <c r="G5" s="8" t="inlineStr">
        <is>
          <t>1. On the gateway page click Cancel / Back.</t>
        </is>
      </c>
      <c r="H5" s="8" t="inlineStr"/>
      <c r="I5" s="8" t="inlineStr">
        <is>
          <t>Buyer returns to the order in To Pay. No duplicate order is created.</t>
        </is>
      </c>
      <c r="J5" s="8" t="inlineStr">
        <is>
          <t>A37</t>
        </is>
      </c>
      <c r="K5" s="5" t="inlineStr">
        <is>
          <t xml:space="preserve">Could not complete buyer cancels at the gateway: the required gateway order/payment session is unavailable. Direct seller GCash receipts do not provide gateway failure, cancellation, callback or timed gateway-payment states.</t>
        </is>
      </c>
      <c r="L5" s="5" t="inlineStr">
        <is>
          <t xml:space="preserve">Blocked</t>
        </is>
      </c>
      <c r="M5" s="5" t="inlineStr">
        <is>
          <t xml:space="preserve">Blocked prerequisite: BUY-PAY-002. The required setup/action was unavailable, so the dependent expected result was not verified. Evidence reviewed from the existing runtime/implementation findings; this status review did not rerun the system.</t>
        </is>
      </c>
    </row>
    <row r="6" ht="42.25" customHeight="1">
      <c r="A6" s="7" t="inlineStr">
        <is>
          <t>BUY-PAY-005</t>
        </is>
      </c>
      <c r="B6" s="8" t="inlineStr">
        <is>
          <t>Payment</t>
        </is>
      </c>
      <c r="C6" s="8" t="inlineStr">
        <is>
          <t>Browser closed on the gateway</t>
        </is>
      </c>
      <c r="D6" s="8" t="inlineStr">
        <is>
          <t>Error Guessing</t>
        </is>
      </c>
      <c r="E6" s="8" t="inlineStr">
        <is>
          <t>Medium</t>
        </is>
      </c>
      <c r="F6" s="8" t="inlineStr">
        <is>
          <t>Logged in as Buyer 1.</t>
        </is>
      </c>
      <c r="G6" s="8" t="inlineStr">
        <is>
          <t>1. Close the browser on the gateway page after paying.
2. Reopen My Orders.</t>
        </is>
      </c>
      <c r="H6" s="8" t="inlineStr"/>
      <c r="I6" s="8" t="inlineStr">
        <is>
          <t>The order shows To Ship once the gateway confirms. It is charged once only.</t>
        </is>
      </c>
      <c r="J6" s="8" t="inlineStr">
        <is>
          <t>A37</t>
        </is>
      </c>
      <c r="K6" s="5" t="inlineStr">
        <is>
          <t xml:space="preserve">Could not complete browser closed on the gateway: the required gateway order/payment session is unavailable. Direct seller GCash receipts do not provide gateway failure, cancellation, callback or timed gateway-payment states.</t>
        </is>
      </c>
      <c r="L6" s="5" t="inlineStr">
        <is>
          <t xml:space="preserve">Blocked</t>
        </is>
      </c>
      <c r="M6" s="5" t="inlineStr">
        <is>
          <t xml:space="preserve">Blocked prerequisite: BUY-PAY-002. The required setup/action was unavailable, so the dependent expected result was not verified. Evidence reviewed from the existing runtime/implementation findings; this status review did not rerun the system.</t>
        </is>
      </c>
    </row>
    <row r="7" ht="42.25" customHeight="1">
      <c r="A7" s="7" t="inlineStr">
        <is>
          <t>BUY-PAY-006</t>
        </is>
      </c>
      <c r="B7" s="8" t="inlineStr">
        <is>
          <t>Payment</t>
        </is>
      </c>
      <c r="C7" s="8" t="inlineStr">
        <is>
          <t>Unpaid order auto-cancels</t>
        </is>
      </c>
      <c r="D7" s="8" t="inlineStr">
        <is>
          <t>State Transition</t>
        </is>
      </c>
      <c r="E7" s="8" t="inlineStr">
        <is>
          <t>High</t>
        </is>
      </c>
      <c r="F7" s="8" t="inlineStr">
        <is>
          <t>Logged in as Buyer 1. An e-wallet order for P-02 with MCH50 is To Pay; stock is 19.</t>
        </is>
      </c>
      <c r="G7" s="8" t="inlineStr">
        <is>
          <t>1. Wait past 1 hour.
2. Check the order, P-02 stock and My Vouchers.</t>
        </is>
      </c>
      <c r="H7" s="8" t="inlineStr"/>
      <c r="I7" s="8" t="inlineStr">
        <is>
          <t>The order is Cancelled (reason: unpaid). Stock is 20. MCH50 is back in the wallet.</t>
        </is>
      </c>
      <c r="J7" s="8" t="inlineStr">
        <is>
          <t>A3, A6, A21</t>
        </is>
      </c>
      <c r="K7" s="5" t="inlineStr">
        <is>
          <t xml:space="preserve">Could not complete unpaid order auto-cancels: the required gateway order/payment session is unavailable. Direct seller GCash receipts do not provide gateway failure, cancellation, callback or timed gateway-payment states.</t>
        </is>
      </c>
      <c r="L7" s="5" t="inlineStr">
        <is>
          <t xml:space="preserve">Blocked</t>
        </is>
      </c>
      <c r="M7" s="5" t="inlineStr">
        <is>
          <t xml:space="preserve">Blocked prerequisite: BUY-PAY-002. The required setup/action was unavailable, so the dependent expected result was not verified. Evidence reviewed from the existing runtime/implementation findings; this status review did not rerun the system.</t>
        </is>
      </c>
    </row>
    <row r="8" ht="42.25" customHeight="1">
      <c r="A8" s="7" t="inlineStr">
        <is>
          <t>BUY-PAY-007</t>
        </is>
      </c>
      <c r="B8" s="8" t="inlineStr">
        <is>
          <t>Payment</t>
        </is>
      </c>
      <c r="C8" s="8" t="inlineStr">
        <is>
          <t>Pay just before vs after the auto-cancel time</t>
        </is>
      </c>
      <c r="D8" s="8" t="inlineStr">
        <is>
          <t>Boundary Value Analysis</t>
        </is>
      </c>
      <c r="E8" s="8" t="inlineStr">
        <is>
          <t>Medium</t>
        </is>
      </c>
      <c r="F8" s="8" t="inlineStr">
        <is>
          <t>Logged in as Buyer 1.</t>
        </is>
      </c>
      <c r="G8" s="8" t="inlineStr">
        <is>
          <t>1. Pay one order at 59 minutes.
2. Try to pay another at 61 minutes.</t>
        </is>
      </c>
      <c r="H8" s="8" t="inlineStr"/>
      <c r="I8" s="8" t="inlineStr">
        <is>
          <t>The 59-minute payment succeeds. The 61-minute order is already Cancelled and Pay is not available.</t>
        </is>
      </c>
      <c r="J8" s="8" t="inlineStr">
        <is>
          <t>A6</t>
        </is>
      </c>
      <c r="K8" s="5" t="inlineStr">
        <is>
          <t xml:space="preserve">Could not complete pay just before vs after the auto-cancel time: the required gateway order/payment session is unavailable. Direct seller GCash receipts do not provide gateway failure, cancellation, callback or timed gateway-payment states.</t>
        </is>
      </c>
      <c r="L8" s="5" t="inlineStr">
        <is>
          <t xml:space="preserve">Blocked</t>
        </is>
      </c>
      <c r="M8" s="5" t="inlineStr">
        <is>
          <t xml:space="preserve">Blocked prerequisite: BUY-PAY-002. The required setup/action was unavailable, so the dependent expected result was not verified. Evidence reviewed from the existing runtime/implementation findings; this status review did not rerun the system.</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BUY-TRK-001</t>
        </is>
      </c>
      <c r="B2" s="8" t="inlineStr">
        <is>
          <t>Order Tracking &amp; History</t>
        </is>
      </c>
      <c r="C2" s="8" t="inlineStr">
        <is>
          <t>Orders appear in the correct tab</t>
        </is>
      </c>
      <c r="D2" s="8" t="inlineStr">
        <is>
          <t>State Transition</t>
        </is>
      </c>
      <c r="E2" s="8" t="inlineStr">
        <is>
          <t>High</t>
        </is>
      </c>
      <c r="F2" s="8" t="inlineStr">
        <is>
          <t>Logged in as Buyer 1. Orders exist in each status.</t>
        </is>
      </c>
      <c r="G2" s="8" t="inlineStr">
        <is>
          <t>1. Open each tab: To Pay, To Ship, To Receive, Completed, Cancelled, Return/Refund.
2. Compare tab counts with rows.</t>
        </is>
      </c>
      <c r="H2" s="8" t="inlineStr"/>
      <c r="I2" s="8" t="inlineStr">
        <is>
          <t>Each order is in exactly one tab matching its status; counts match.</t>
        </is>
      </c>
      <c r="J2" s="8" t="inlineStr">
        <is>
          <t>A10</t>
        </is>
      </c>
      <c r="K2" s="5" t="inlineStr">
        <is>
          <t xml:space="preserve">Unfiltered buyer order API returns 15 rows out of total 25. Settings getOrdersApi discards pagination and renders only that first page, so tab counts and older orders are incomplete once more than 15 orders exist.</t>
        </is>
      </c>
      <c r="L2" s="5" t="inlineStr">
        <is>
          <t xml:space="preserve">Fail</t>
        </is>
      </c>
      <c r="M2" s="5" t="inlineStr">
        <is>
          <t xml:space="preserve">Actual paginated response checked; frontend/src/api/client.ts getOrdersApi and SettingsPage OrdersPanel inspected. Per-status API filtering works, but the UI count/coverage expectation fails.</t>
        </is>
      </c>
    </row>
    <row r="3" ht="67.75" customHeight="1">
      <c r="A3" s="7" t="inlineStr">
        <is>
          <t>BUY-TRK-002</t>
        </is>
      </c>
      <c r="B3" s="8" t="inlineStr">
        <is>
          <t>Order Tracking &amp; History</t>
        </is>
      </c>
      <c r="C3" s="8" t="inlineStr">
        <is>
          <t>Timeline matches seller, rider and logistics updates</t>
        </is>
      </c>
      <c r="D3" s="8" t="inlineStr">
        <is>
          <t>State Transition</t>
        </is>
      </c>
      <c r="E3" s="8" t="inlineStr">
        <is>
          <t>High</t>
        </is>
      </c>
      <c r="F3" s="8" t="inlineStr">
        <is>
          <t>Logged in as Buyer 1. A COD order is Ready for Pickup.</t>
        </is>
      </c>
      <c r="G3" s="8" t="inlineStr">
        <is>
          <t>1. Have Logistics 1 assign Rider 1, Rider 1 pick up, Logistics 1 scan at hub, Rider 1 go Out for Delivery.
2. Refresh Buyer 1's order after each step.</t>
        </is>
      </c>
      <c r="H3" s="8" t="inlineStr"/>
      <c r="I3" s="8" t="inlineStr">
        <is>
          <t>Each event appears once, in order, with the time it happened. The order moves to To Receive at Picked Up.</t>
        </is>
      </c>
      <c r="J3" s="8" t="inlineStr">
        <is>
          <t>A10</t>
        </is>
      </c>
      <c r="K3" s="5" t="inlineStr">
        <is>
          <t xml:space="preserve">Buyer timeline for 2: PLACED &gt; CONFIRMED &gt; PREPARING &gt; READY_FOR_PICKUP &gt; PICKED_UP &gt; AT_SORTING_CENTER &gt; SORTED &gt; ASSIGNED_TO_RIDER &gt; OUT_FOR_DELIVERY &gt; DELIVERED; each state recorded once with event time.</t>
        </is>
      </c>
      <c r="L3" s="5" t="inlineStr">
        <is>
          <t xml:space="preserve">Pass</t>
        </is>
      </c>
      <c r="M3" s="5" t="inlineStr">
        <is>
          <t xml:space="preserve">Seller, hub and rider actions were performed through their own APIs; buyer history checked afterward.</t>
        </is>
      </c>
    </row>
    <row r="4" ht="42.25" customHeight="1">
      <c r="A4" s="7" t="inlineStr">
        <is>
          <t>BUY-TRK-003</t>
        </is>
      </c>
      <c r="B4" s="8" t="inlineStr">
        <is>
          <t>Order Tracking &amp; History</t>
        </is>
      </c>
      <c r="C4" s="8" t="inlineStr">
        <is>
          <t>Order Received button</t>
        </is>
      </c>
      <c r="D4" s="8" t="inlineStr">
        <is>
          <t>State Transition</t>
        </is>
      </c>
      <c r="E4" s="8" t="inlineStr">
        <is>
          <t>High</t>
        </is>
      </c>
      <c r="F4" s="8" t="inlineStr">
        <is>
          <t>Logged in as Buyer 1. An order is Delivered.</t>
        </is>
      </c>
      <c r="G4" s="8" t="inlineStr">
        <is>
          <t>1. Click Order Received and confirm.
2. Check Seller 1's earnings.</t>
        </is>
      </c>
      <c r="H4" s="8" t="inlineStr"/>
      <c r="I4" s="8" t="inlineStr">
        <is>
          <t>The order moves to Completed and the Rate button appears. Seller 1's earnings for it become Available.</t>
        </is>
      </c>
      <c r="J4" s="8" t="inlineStr">
        <is>
          <t>A11, A15</t>
        </is>
      </c>
      <c r="K4" s="5" t="inlineStr">
        <is>
          <t xml:space="preserve">Buyer receipt confirmation succeeded and changed the delivered order to COMPLETED. The complete case fails because direct-payment order items do not release this order into the required immediately Available seller escrow balance.</t>
        </is>
      </c>
      <c r="L4" s="5" t="inlineStr">
        <is>
          <t xml:space="preserve">Fail</t>
        </is>
      </c>
      <c r="M4" s="5" t="inlineStr">
        <is>
          <t xml:space="preserve">Actual receipt API executed; BuyerOrderController assigns payout_status=direct. Balance model does not implement the expected immediate release for new direct-payment orders.</t>
        </is>
      </c>
    </row>
    <row r="5" ht="29.5" customHeight="1">
      <c r="A5" s="7" t="inlineStr">
        <is>
          <t>BUY-TRK-004</t>
        </is>
      </c>
      <c r="B5" s="8" t="inlineStr">
        <is>
          <t>Order Tracking &amp; History</t>
        </is>
      </c>
      <c r="C5" s="8" t="inlineStr">
        <is>
          <t>Order Received not available before delivery</t>
        </is>
      </c>
      <c r="D5" s="8" t="inlineStr">
        <is>
          <t>State Transition</t>
        </is>
      </c>
      <c r="E5" s="8" t="inlineStr">
        <is>
          <t>Medium</t>
        </is>
      </c>
      <c r="F5" s="8" t="inlineStr">
        <is>
          <t>Logged in as Buyer 1. An order is Out for Delivery.</t>
        </is>
      </c>
      <c r="G5" s="8" t="inlineStr">
        <is>
          <t>1. Look for Order Received.
2. Try the request directly if possible.</t>
        </is>
      </c>
      <c r="H5" s="8" t="inlineStr"/>
      <c r="I5" s="8" t="inlineStr">
        <is>
          <t>Not shown; a direct request is rejected.</t>
        </is>
      </c>
      <c r="J5" s="8" t="inlineStr">
        <is>
          <t>A11</t>
        </is>
      </c>
      <c r="K5" s="5" t="inlineStr">
        <is>
          <t xml:space="preserve">At actual OUT_FOR_DELIVERY, receipt confirmation returned 409: You can confirm receipt once the order has been delivered..</t>
        </is>
      </c>
      <c r="L5" s="5" t="inlineStr">
        <is>
          <t xml:space="preserve">Pass</t>
        </is>
      </c>
      <c r="M5" s="5" t="inlineStr">
        <is>
          <t xml:space="preserve">Required OUT_FOR_DELIVERY precondition established through real dispatch and rider start.</t>
        </is>
      </c>
    </row>
    <row r="6" ht="29.5" customHeight="1">
      <c r="A6" s="7" t="inlineStr">
        <is>
          <t>BUY-TRK-005</t>
        </is>
      </c>
      <c r="B6" s="8" t="inlineStr">
        <is>
          <t>Order Tracking &amp; History</t>
        </is>
      </c>
      <c r="C6" s="8" t="inlineStr">
        <is>
          <t>Automatic completion</t>
        </is>
      </c>
      <c r="D6" s="8" t="inlineStr">
        <is>
          <t>Boundary Value Analysis</t>
        </is>
      </c>
      <c r="E6" s="8" t="inlineStr">
        <is>
          <t>Medium</t>
        </is>
      </c>
      <c r="F6" s="8" t="inlineStr">
        <is>
          <t>An order was Delivered.</t>
        </is>
      </c>
      <c r="G6" s="8" t="inlineStr">
        <is>
          <t>1. Check it just before and just after 7 days.</t>
        </is>
      </c>
      <c r="H6" s="8" t="inlineStr"/>
      <c r="I6" s="8" t="inlineStr">
        <is>
          <t>To Receive before 7 days; Completed after, and earnings are released.</t>
        </is>
      </c>
      <c r="J6" s="8" t="inlineStr">
        <is>
          <t>A11</t>
        </is>
      </c>
      <c r="K6" s="5" t="inlineStr">
        <is>
          <t xml:space="preserve">The implementation defaults to auto-completion after 3 days, not 7 days; auto-complete is scheduled hourly. The workbook requires the order to remain uncompleted until the seven-day boundary.</t>
        </is>
      </c>
      <c r="L6" s="5" t="inlineStr">
        <is>
          <t xml:space="preserve">Fail</t>
        </is>
      </c>
      <c r="M6" s="5" t="inlineStr">
        <is>
          <t xml:space="preserve">Implementation review: backend/config/orders.php:17. Required behavior in this case is absent or differs. This finding is not a claimed browser execution.</t>
        </is>
      </c>
    </row>
    <row r="7" ht="29.5" customHeight="1">
      <c r="A7" s="7" t="inlineStr">
        <is>
          <t>BUY-TRK-006</t>
        </is>
      </c>
      <c r="B7" s="8" t="inlineStr">
        <is>
          <t>Order Tracking &amp; History</t>
        </is>
      </c>
      <c r="C7" s="8" t="inlineStr">
        <is>
          <t>Cannot open another buyer's order</t>
        </is>
      </c>
      <c r="D7" s="8" t="inlineStr">
        <is>
          <t>Error Guessing</t>
        </is>
      </c>
      <c r="E7" s="8" t="inlineStr">
        <is>
          <t>High</t>
        </is>
      </c>
      <c r="F7" s="8" t="inlineStr">
        <is>
          <t>Logged in as Buyer 1.</t>
        </is>
      </c>
      <c r="G7" s="8" t="inlineStr">
        <is>
          <t>1. Change the order ID in the URL to Buyer 2's order.</t>
        </is>
      </c>
      <c r="H7" s="8" t="inlineStr"/>
      <c r="I7" s="8" t="inlineStr">
        <is>
          <t>Denied. No details of Buyer 2's order are shown.</t>
        </is>
      </c>
      <c r="J7" s="8" t="inlineStr">
        <is>
          <t>A22</t>
        </is>
      </c>
      <c r="K7" s="5" t="inlineStr">
        <is>
          <t xml:space="preserve">Buyer 2 opening Buyer 1 order 1: HTTP 403.</t>
        </is>
      </c>
      <c r="L7" s="5" t="inlineStr">
        <is>
          <t xml:space="preserve">Pass</t>
        </is>
      </c>
      <c r="M7" s="5" t="inlineStr">
        <is>
          <t xml:space="preserve">Expedited API test; browser controls not exercised.</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BUY-CAN-001</t>
        </is>
      </c>
      <c r="B2" s="8" t="inlineStr">
        <is>
          <t>Cancellation</t>
        </is>
      </c>
      <c r="C2" s="8" t="inlineStr">
        <is>
          <t>Cancel a COD order before shipping</t>
        </is>
      </c>
      <c r="D2" s="8" t="inlineStr">
        <is>
          <t>State Transition</t>
        </is>
      </c>
      <c r="E2" s="8" t="inlineStr">
        <is>
          <t>High</t>
        </is>
      </c>
      <c r="F2" s="8" t="inlineStr">
        <is>
          <t>Logged in as Buyer 1. A COD order for 2 × P-02 is Accepted; stock is 18.</t>
        </is>
      </c>
      <c r="G2" s="8" t="inlineStr">
        <is>
          <t>1. Click Cancel, choose 'Changed my mind', confirm.
2. Check stock and Seller 1's notifications.</t>
        </is>
      </c>
      <c r="H2" s="8" t="inlineStr"/>
      <c r="I2" s="8" t="inlineStr">
        <is>
          <t>The order is Cancelled on both sides. Stock is 20. Seller 1 is notified with the reason.</t>
        </is>
      </c>
      <c r="J2" s="8" t="inlineStr">
        <is>
          <t>A3, A6, A23</t>
        </is>
      </c>
      <c r="K2" s="5" t="inlineStr">
        <is>
          <t xml:space="preserve">There is no buyer Cancel Order action/API in the current buyer order routes. Buyer cancellation, cancellation reason, refund and duplicate-cancel behavior required by this case cannot be exercised.</t>
        </is>
      </c>
      <c r="L2" s="5" t="inlineStr">
        <is>
          <t xml:space="preserve">Fail</t>
        </is>
      </c>
      <c r="M2" s="5" t="inlineStr">
        <is>
          <t xml:space="preserve">Implementation review: backend/routes/api.php:171. Required behavior in this case is absent or differs. This finding is not a claimed browser execution.</t>
        </is>
      </c>
    </row>
    <row r="3" ht="29.5" customHeight="1">
      <c r="A3" s="7" t="inlineStr">
        <is>
          <t>BUY-CAN-002</t>
        </is>
      </c>
      <c r="B3" s="8" t="inlineStr">
        <is>
          <t>Cancellation</t>
        </is>
      </c>
      <c r="C3" s="8" t="inlineStr">
        <is>
          <t>Reason is required</t>
        </is>
      </c>
      <c r="D3" s="8" t="inlineStr">
        <is>
          <t>Equivalence Partitioning</t>
        </is>
      </c>
      <c r="E3" s="8" t="inlineStr">
        <is>
          <t>Medium</t>
        </is>
      </c>
      <c r="F3" s="8" t="inlineStr">
        <is>
          <t>Logged in as Buyer 1.</t>
        </is>
      </c>
      <c r="G3" s="8" t="inlineStr">
        <is>
          <t>1. Click Cancel and confirm without a reason.</t>
        </is>
      </c>
      <c r="H3" s="8" t="inlineStr"/>
      <c r="I3" s="8" t="inlineStr">
        <is>
          <t>Blocked until a reason is chosen. The order is unchanged.</t>
        </is>
      </c>
      <c r="J3" s="8" t="inlineStr"/>
      <c r="K3" s="5" t="inlineStr">
        <is>
          <t xml:space="preserve">Could not complete reason is required: the buyer Cancel Order action is absent, so reason validation, post-shipment cancellation guards and repeated cancellation cannot be submitted through that workflow.</t>
        </is>
      </c>
      <c r="L3" s="5" t="inlineStr">
        <is>
          <t xml:space="preserve">Blocked</t>
        </is>
      </c>
      <c r="M3" s="5" t="inlineStr">
        <is>
          <t xml:space="preserve">Blocked prerequisite: BUY-CAN-001. The required setup/action was unavailable, so the dependent expected result was not verified. Evidence reviewed from the existing runtime/implementation findings; this status review did not rerun the system.</t>
        </is>
      </c>
    </row>
    <row r="4" ht="42.25" customHeight="1">
      <c r="A4" s="7" t="inlineStr">
        <is>
          <t>BUY-CAN-003</t>
        </is>
      </c>
      <c r="B4" s="8" t="inlineStr">
        <is>
          <t>Cancellation</t>
        </is>
      </c>
      <c r="C4" s="8" t="inlineStr">
        <is>
          <t>Cancel a prepaid order</t>
        </is>
      </c>
      <c r="D4" s="8" t="inlineStr">
        <is>
          <t>State Transition</t>
        </is>
      </c>
      <c r="E4" s="8" t="inlineStr">
        <is>
          <t>High</t>
        </is>
      </c>
      <c r="F4" s="8" t="inlineStr">
        <is>
          <t>Logged in as Buyer 1. A paid e-wallet order with MCH50 is To Ship.</t>
        </is>
      </c>
      <c r="G4" s="8" t="inlineStr">
        <is>
          <t>1. Cancel with a reason.</t>
        </is>
      </c>
      <c r="H4" s="8" t="inlineStr"/>
      <c r="I4" s="8" t="inlineStr">
        <is>
          <t>The order is Cancelled and a refund for the exact amount paid is started. MCH50 returns to the wallet.</t>
        </is>
      </c>
      <c r="J4" s="8" t="inlineStr">
        <is>
          <t>A6, A21</t>
        </is>
      </c>
      <c r="K4" s="5" t="inlineStr">
        <is>
          <t xml:space="preserve">Could not complete cancel a prepaid order: the buyer Cancel Order action is absent, so reason validation, post-shipment cancellation guards and repeated cancellation cannot be submitted through that workflow.</t>
        </is>
      </c>
      <c r="L4" s="5" t="inlineStr">
        <is>
          <t xml:space="preserve">Blocked</t>
        </is>
      </c>
      <c r="M4" s="5" t="inlineStr">
        <is>
          <t xml:space="preserve">Blocked prerequisite: BUY-CAN-001. The required setup/action was unavailable, so the dependent expected result was not verified. Evidence reviewed from the existing runtime/implementation findings; this status review did not rerun the system.</t>
        </is>
      </c>
    </row>
    <row r="5" ht="42.25" customHeight="1">
      <c r="A5" s="7" t="inlineStr">
        <is>
          <t>BUY-CAN-004</t>
        </is>
      </c>
      <c r="B5" s="8" t="inlineStr">
        <is>
          <t>Cancellation</t>
        </is>
      </c>
      <c r="C5" s="8" t="inlineStr">
        <is>
          <t>No cancel after Ready for Pickup</t>
        </is>
      </c>
      <c r="D5" s="8" t="inlineStr">
        <is>
          <t>State Transition</t>
        </is>
      </c>
      <c r="E5" s="8" t="inlineStr">
        <is>
          <t>High</t>
        </is>
      </c>
      <c r="F5" s="8" t="inlineStr">
        <is>
          <t>Logged in as Buyer 1. Seller marked Ready for Pickup.</t>
        </is>
      </c>
      <c r="G5" s="8" t="inlineStr">
        <is>
          <t>1. Look for Cancel.
2. Try the cancel request directly if possible.</t>
        </is>
      </c>
      <c r="H5" s="8" t="inlineStr"/>
      <c r="I5" s="8" t="inlineStr">
        <is>
          <t>No Cancel option; a direct request is rejected and the status is unchanged.</t>
        </is>
      </c>
      <c r="J5" s="8" t="inlineStr">
        <is>
          <t>A6</t>
        </is>
      </c>
      <c r="K5" s="5" t="inlineStr">
        <is>
          <t xml:space="preserve">Could not complete no cancel after ready for pickup: the buyer Cancel Order action is absent, so reason validation, post-shipment cancellation guards and repeated cancellation cannot be submitted through that workflow.</t>
        </is>
      </c>
      <c r="L5" s="5" t="inlineStr">
        <is>
          <t xml:space="preserve">Blocked</t>
        </is>
      </c>
      <c r="M5" s="5" t="inlineStr">
        <is>
          <t xml:space="preserve">Blocked prerequisite: BUY-CAN-001. The required setup/action was unavailable, so the dependent expected result was not verified. Evidence reviewed from the existing runtime/implementation findings; this status review did not rerun the system.</t>
        </is>
      </c>
    </row>
    <row r="6" ht="29.5" customHeight="1">
      <c r="A6" s="7" t="inlineStr">
        <is>
          <t>BUY-CAN-005</t>
        </is>
      </c>
      <c r="B6" s="8" t="inlineStr">
        <is>
          <t>Cancellation</t>
        </is>
      </c>
      <c r="C6" s="8" t="inlineStr">
        <is>
          <t>No cancel after shipping</t>
        </is>
      </c>
      <c r="D6" s="8" t="inlineStr">
        <is>
          <t>State Transition</t>
        </is>
      </c>
      <c r="E6" s="8" t="inlineStr">
        <is>
          <t>High</t>
        </is>
      </c>
      <c r="F6" s="8" t="inlineStr">
        <is>
          <t>Logged in as Buyer 1. Rider picked up the parcel.</t>
        </is>
      </c>
      <c r="G6" s="8" t="inlineStr">
        <is>
          <t>1. Look for Cancel.</t>
        </is>
      </c>
      <c r="H6" s="8" t="inlineStr"/>
      <c r="I6" s="8" t="inlineStr">
        <is>
          <t>No Cancel option.</t>
        </is>
      </c>
      <c r="J6" s="8" t="inlineStr">
        <is>
          <t>A6</t>
        </is>
      </c>
      <c r="K6" s="5" t="inlineStr">
        <is>
          <t xml:space="preserve">Could not complete no cancel after shipping: the buyer Cancel Order action is absent, so reason validation, post-shipment cancellation guards and repeated cancellation cannot be submitted through that workflow.</t>
        </is>
      </c>
      <c r="L6" s="5" t="inlineStr">
        <is>
          <t xml:space="preserve">Blocked</t>
        </is>
      </c>
      <c r="M6" s="5" t="inlineStr">
        <is>
          <t xml:space="preserve">Blocked prerequisite: BUY-CAN-001. The required setup/action was unavailable, so the dependent expected result was not verified. Evidence reviewed from the existing runtime/implementation findings; this status review did not rerun the system.</t>
        </is>
      </c>
    </row>
    <row r="7" ht="29.5" customHeight="1">
      <c r="A7" s="7" t="inlineStr">
        <is>
          <t>BUY-CAN-006</t>
        </is>
      </c>
      <c r="B7" s="8" t="inlineStr">
        <is>
          <t>Cancellation</t>
        </is>
      </c>
      <c r="C7" s="8" t="inlineStr">
        <is>
          <t>Double-click Cancel</t>
        </is>
      </c>
      <c r="D7" s="8" t="inlineStr">
        <is>
          <t>Error Guessing</t>
        </is>
      </c>
      <c r="E7" s="8" t="inlineStr">
        <is>
          <t>Low</t>
        </is>
      </c>
      <c r="F7" s="8" t="inlineStr">
        <is>
          <t>Logged in as Buyer 1.</t>
        </is>
      </c>
      <c r="G7" s="8" t="inlineStr">
        <is>
          <t>1. Double-click Confirm Cancel.</t>
        </is>
      </c>
      <c r="H7" s="8" t="inlineStr"/>
      <c r="I7" s="8" t="inlineStr">
        <is>
          <t>One cancellation; stock restored once (not twice).</t>
        </is>
      </c>
      <c r="J7" s="8" t="inlineStr">
        <is>
          <t>A37</t>
        </is>
      </c>
      <c r="K7" s="5" t="inlineStr">
        <is>
          <t xml:space="preserve">Could not complete double-click cancel: the buyer Cancel Order action is absent, so reason validation, post-shipment cancellation guards and repeated cancellation cannot be submitted through that workflow.</t>
        </is>
      </c>
      <c r="L7" s="5" t="inlineStr">
        <is>
          <t xml:space="preserve">Blocked</t>
        </is>
      </c>
      <c r="M7" s="5" t="inlineStr">
        <is>
          <t xml:space="preserve">Blocked prerequisite: BUY-CAN-001. The required setup/action was unavailable, so the dependent expected result was not verified. Evidence reviewed from the existing runtime/implementation findings; this status review did not rerun the system.</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BUY-RET-001</t>
        </is>
      </c>
      <c r="B2" s="8" t="inlineStr">
        <is>
          <t>Return &amp; Refund Request</t>
        </is>
      </c>
      <c r="C2" s="8" t="inlineStr">
        <is>
          <t>Request a return within the window</t>
        </is>
      </c>
      <c r="D2" s="8" t="inlineStr">
        <is>
          <t>Use Case Testing</t>
        </is>
      </c>
      <c r="E2" s="8" t="inlineStr">
        <is>
          <t>High</t>
        </is>
      </c>
      <c r="F2" s="8" t="inlineStr">
        <is>
          <t>Logged in as Buyer 1. A P-02 order was Delivered 2 days ago.</t>
        </is>
      </c>
      <c r="G2" s="8" t="inlineStr">
        <is>
          <t>1. Click Return/Refund.
2. Choose the item, reason, description and upload 2 photos.
3. Submit.</t>
        </is>
      </c>
      <c r="H2" s="8" t="inlineStr">
        <is>
          <t>Reason: Damaged item
Description: Basket arrived with a broken rim.
Photos: review_photo.jpg, product_front.jpg</t>
        </is>
      </c>
      <c r="I2" s="8" t="inlineStr">
        <is>
          <t>The request is submitted. The order moves to Return/Refund. Seller 1 is notified. The order can no longer be completed automatically while the request is open.</t>
        </is>
      </c>
      <c r="J2" s="8" t="inlineStr">
        <is>
          <t>A11, A31</t>
        </is>
      </c>
      <c r="K2" s="5" t="inlineStr">
        <is>
          <t xml:space="preserve">The return form/API supports reason and description but does not store the two requested evidence photos. A return can be opened, but the complete two-photo return submission required by this case is unavailable.</t>
        </is>
      </c>
      <c r="L2" s="5" t="inlineStr">
        <is>
          <t xml:space="preserve">Fail</t>
        </is>
      </c>
      <c r="M2" s="5" t="inlineStr">
        <is>
          <t xml:space="preserve">Implementation review: backend/app/Http/Controllers/Api/V1/BuyerOrderController.php:352. Required behavior in this case is absent or differs. This finding is not a claimed browser execution.</t>
        </is>
      </c>
    </row>
    <row r="3" ht="29.5" customHeight="1">
      <c r="A3" s="7" t="inlineStr">
        <is>
          <t>BUY-RET-002</t>
        </is>
      </c>
      <c r="B3" s="8" t="inlineStr">
        <is>
          <t>Return &amp; Refund Request</t>
        </is>
      </c>
      <c r="C3" s="8" t="inlineStr">
        <is>
          <t>Return not allowed before delivery</t>
        </is>
      </c>
      <c r="D3" s="8" t="inlineStr">
        <is>
          <t>State Transition</t>
        </is>
      </c>
      <c r="E3" s="8" t="inlineStr">
        <is>
          <t>High</t>
        </is>
      </c>
      <c r="F3" s="8" t="inlineStr">
        <is>
          <t>Logged in as Buyer 1. An order is To Ship.</t>
        </is>
      </c>
      <c r="G3" s="8" t="inlineStr">
        <is>
          <t>1. Look for Return/Refund.</t>
        </is>
      </c>
      <c r="H3" s="8" t="inlineStr"/>
      <c r="I3" s="8" t="inlineStr">
        <is>
          <t>Not available.</t>
        </is>
      </c>
      <c r="J3" s="8" t="inlineStr">
        <is>
          <t>A11</t>
        </is>
      </c>
      <c r="K3" s="5" t="inlineStr">
        <is>
          <t xml:space="preserve">Return request before delivery: HTTP 200, Return request submitted successfully. The seller will review within 48 hours..</t>
        </is>
      </c>
      <c r="L3" s="5" t="inlineStr">
        <is>
          <t xml:space="preserve">Fail</t>
        </is>
      </c>
      <c r="M3" s="5" t="inlineStr">
        <is>
          <t xml:space="preserve">Expedited API test; browser controls not exercised.</t>
        </is>
      </c>
    </row>
    <row r="4" ht="42.25" customHeight="1">
      <c r="A4" s="7" t="inlineStr">
        <is>
          <t>BUY-RET-003</t>
        </is>
      </c>
      <c r="B4" s="8" t="inlineStr">
        <is>
          <t>Return &amp; Refund Request</t>
        </is>
      </c>
      <c r="C4" s="8" t="inlineStr">
        <is>
          <t>Return window boundary</t>
        </is>
      </c>
      <c r="D4" s="8" t="inlineStr">
        <is>
          <t>Boundary Value Analysis</t>
        </is>
      </c>
      <c r="E4" s="8" t="inlineStr">
        <is>
          <t>High</t>
        </is>
      </c>
      <c r="F4" s="8" t="inlineStr">
        <is>
          <t>Logged in as Buyer 1.</t>
        </is>
      </c>
      <c r="G4" s="8" t="inlineStr">
        <is>
          <t>1. Request on day 7 after Delivered.
2. Try on another order 7 days + 1 hour after Delivered (now Completed).</t>
        </is>
      </c>
      <c r="H4" s="8" t="inlineStr"/>
      <c r="I4" s="8" t="inlineStr">
        <is>
          <t>Allowed on day 7. Not available after the window or once Completed.</t>
        </is>
      </c>
      <c r="J4" s="8" t="inlineStr">
        <is>
          <t>A11</t>
        </is>
      </c>
      <c r="K4" s="5" t="inlineStr">
        <is>
          <t xml:space="preserve">Return after COMPLETED returned 422; Cannot transition order from COMPLETED to DISPUTED.. Source state machine closes COMPLETED, but no seven-day delivered-return cutoff is implemented.</t>
        </is>
      </c>
      <c r="L4" s="5" t="inlineStr">
        <is>
          <t xml:space="preserve">Fail</t>
        </is>
      </c>
      <c r="M4" s="5" t="inlineStr">
        <is>
          <t xml:space="preserve">Failure is the missing day-7/day-8 cutoff, not the correct COMPLETED rejection.</t>
        </is>
      </c>
    </row>
    <row r="5" ht="55" customHeight="1">
      <c r="A5" s="7" t="inlineStr">
        <is>
          <t>BUY-RET-004</t>
        </is>
      </c>
      <c r="B5" s="8" t="inlineStr">
        <is>
          <t>Return &amp; Refund Request</t>
        </is>
      </c>
      <c r="C5" s="8" t="inlineStr">
        <is>
          <t>Evidence and description rules</t>
        </is>
      </c>
      <c r="D5" s="8" t="inlineStr">
        <is>
          <t>Boundary Value Analysis</t>
        </is>
      </c>
      <c r="E5" s="8" t="inlineStr">
        <is>
          <t>Medium</t>
        </is>
      </c>
      <c r="F5" s="8" t="inlineStr">
        <is>
          <t>Logged in as Buyer 1.</t>
        </is>
      </c>
      <c r="G5" s="8" t="inlineStr">
        <is>
          <t>1. Submit with 0 photos.
2. Submit with 6 photos.
3. Submit a 5.1 MB photo.
4. Submit a 9-character description.</t>
        </is>
      </c>
      <c r="H5" s="8" t="inlineStr"/>
      <c r="I5" s="8" t="inlineStr">
        <is>
          <t>Each is blocked with a message. 1 to 5 valid photos and 10+ characters are required.</t>
        </is>
      </c>
      <c r="J5" s="8" t="inlineStr">
        <is>
          <t>A31</t>
        </is>
      </c>
      <c r="K5" s="5" t="inlineStr">
        <is>
          <t xml:space="preserve">Could not complete evidence and description rules: the return workflow has no evidence-photo upload; the specified photo count/type/size inputs cannot be submitted for this validation case.</t>
        </is>
      </c>
      <c r="L5" s="5" t="inlineStr">
        <is>
          <t xml:space="preserve">Blocked</t>
        </is>
      </c>
      <c r="M5" s="5" t="inlineStr">
        <is>
          <t xml:space="preserve">Blocked prerequisite: BUY-RET-001. The required setup/action was unavailable, so the dependent expected result was not verified. Evidence reviewed from the existing runtime/implementation findings; this status review did not rerun the system.</t>
        </is>
      </c>
    </row>
    <row r="6" ht="29.5" customHeight="1">
      <c r="A6" s="7" t="inlineStr">
        <is>
          <t>BUY-RET-005</t>
        </is>
      </c>
      <c r="B6" s="8" t="inlineStr">
        <is>
          <t>Return &amp; Refund Request</t>
        </is>
      </c>
      <c r="C6" s="8" t="inlineStr">
        <is>
          <t>Track request status</t>
        </is>
      </c>
      <c r="D6" s="8" t="inlineStr">
        <is>
          <t>State Transition</t>
        </is>
      </c>
      <c r="E6" s="8" t="inlineStr">
        <is>
          <t>Medium</t>
        </is>
      </c>
      <c r="F6" s="8" t="inlineStr">
        <is>
          <t>A request exists.</t>
        </is>
      </c>
      <c r="G6" s="8" t="inlineStr">
        <is>
          <t>1. Seller 1 rejects with a reason.
2. Open the request.</t>
        </is>
      </c>
      <c r="H6" s="8" t="inlineStr"/>
      <c r="I6" s="8" t="inlineStr">
        <is>
          <t>Status Rejected with the seller's exact reason and an Escalate button.</t>
        </is>
      </c>
      <c r="J6" s="8" t="inlineStr">
        <is>
          <t>A31</t>
        </is>
      </c>
      <c r="K6" s="5" t="inlineStr">
        <is>
          <t xml:space="preserve">Could not complete track request status: seller rejection goes directly to mediation/in_progress, not the required Rejected state with a buyer Escalate action. The requested tracking state cannot be produced.</t>
        </is>
      </c>
      <c r="L6" s="5" t="inlineStr">
        <is>
          <t xml:space="preserve">Blocked</t>
        </is>
      </c>
      <c r="M6" s="5" t="inlineStr">
        <is>
          <t xml:space="preserve">Blocked prerequisite: SEL-RET-004. The required setup/action was unavailable, so the dependent expected result was not verified. Evidence reviewed from the existing runtime/implementation findings; this status review did not rerun the system.</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BUY-RATE-001</t>
        </is>
      </c>
      <c r="B2" s="8" t="inlineStr">
        <is>
          <t>Ratings &amp; Reviews</t>
        </is>
      </c>
      <c r="C2" s="8" t="inlineStr">
        <is>
          <t>Rate a completed order</t>
        </is>
      </c>
      <c r="D2" s="8" t="inlineStr">
        <is>
          <t>Use Case Testing</t>
        </is>
      </c>
      <c r="E2" s="8" t="inlineStr">
        <is>
          <t>High</t>
        </is>
      </c>
      <c r="F2" s="8" t="inlineStr">
        <is>
          <t>Logged in as Buyer 1. An order with P-02 is Completed.</t>
        </is>
      </c>
      <c r="G2" s="8" t="inlineStr">
        <is>
          <t>1. Click Rate.
2. Choose 5 stars, add text and a photo.
3. Submit.
4. Open P-02's reviews as Buyer 2.</t>
        </is>
      </c>
      <c r="H2" s="8" t="inlineStr">
        <is>
          <t>Text: Matibay at maganda!
Photo: review_photo.jpg</t>
        </is>
      </c>
      <c r="I2" s="8" t="inlineStr">
        <is>
          <t>The review appears on P-02 with 5 stars, the text, the photo, the variant and Buyer 1's (masked) name.</t>
        </is>
      </c>
      <c r="J2" s="8" t="inlineStr">
        <is>
          <t>A12</t>
        </is>
      </c>
      <c r="K2" s="5" t="inlineStr">
        <is>
          <t xml:space="preserve">The public review includes the buyer full first and last name, without masking. Review creation and the uploaded photo worked, but the masked-name requirement is not met.</t>
        </is>
      </c>
      <c r="L2" s="5" t="inlineStr">
        <is>
          <t xml:space="preserve">Fail</t>
        </is>
      </c>
      <c r="M2" s="5" t="inlineStr">
        <is>
          <t xml:space="preserve">Implementation review: backend/app/Http/Controllers/Api/V1/PublicProductController.php:219. Required behavior in this case is absent or differs. This finding is not a claimed browser execution.</t>
        </is>
      </c>
    </row>
    <row r="3" ht="29.5" customHeight="1">
      <c r="A3" s="7" t="inlineStr">
        <is>
          <t>BUY-RATE-002</t>
        </is>
      </c>
      <c r="B3" s="8" t="inlineStr">
        <is>
          <t>Ratings &amp; Reviews</t>
        </is>
      </c>
      <c r="C3" s="8" t="inlineStr">
        <is>
          <t>Rating not allowed before completion</t>
        </is>
      </c>
      <c r="D3" s="8" t="inlineStr">
        <is>
          <t>State Transition</t>
        </is>
      </c>
      <c r="E3" s="8" t="inlineStr">
        <is>
          <t>High</t>
        </is>
      </c>
      <c r="F3" s="8" t="inlineStr">
        <is>
          <t>Logged in as Buyer 1. The order is To Receive.</t>
        </is>
      </c>
      <c r="G3" s="8" t="inlineStr">
        <is>
          <t>1. Look for Rate.
2. Try the request directly.</t>
        </is>
      </c>
      <c r="H3" s="8" t="inlineStr"/>
      <c r="I3" s="8" t="inlineStr">
        <is>
          <t>Not available; a direct request is rejected.</t>
        </is>
      </c>
      <c r="J3" s="8" t="inlineStr">
        <is>
          <t>A12</t>
        </is>
      </c>
      <c r="K3" s="5" t="inlineStr">
        <is>
          <t xml:space="preserve">Review submitted at DELIVERED, before COMPLETED: HTTP 201. API allows delivered-order reviews, while workbook requires rejecting all pre-completion ratings.</t>
        </is>
      </c>
      <c r="L3" s="5" t="inlineStr">
        <is>
          <t xml:space="preserve">Fail</t>
        </is>
      </c>
      <c r="M3" s="5" t="inlineStr">
        <is>
          <t xml:space="preserve">Tested through the local system API on isolated velure_blackbox; judged against the workbook expected result.</t>
        </is>
      </c>
    </row>
    <row r="4" ht="29.5" customHeight="1">
      <c r="A4" s="7" t="inlineStr">
        <is>
          <t>BUY-RATE-003</t>
        </is>
      </c>
      <c r="B4" s="8" t="inlineStr">
        <is>
          <t>Ratings &amp; Reviews</t>
        </is>
      </c>
      <c r="C4" s="8" t="inlineStr">
        <is>
          <t>One review per item</t>
        </is>
      </c>
      <c r="D4" s="8" t="inlineStr">
        <is>
          <t>Equivalence Partitioning</t>
        </is>
      </c>
      <c r="E4" s="8" t="inlineStr">
        <is>
          <t>Medium</t>
        </is>
      </c>
      <c r="F4" s="8" t="inlineStr">
        <is>
          <t>Logged in as Buyer 1. P-02 already reviewed in this order.</t>
        </is>
      </c>
      <c r="G4" s="8" t="inlineStr">
        <is>
          <t>1. Try to rate it again.</t>
        </is>
      </c>
      <c r="H4" s="8" t="inlineStr"/>
      <c r="I4" s="8" t="inlineStr">
        <is>
          <t>Blocked; only Edit is offered.</t>
        </is>
      </c>
      <c r="J4" s="8" t="inlineStr">
        <is>
          <t>A12</t>
        </is>
      </c>
      <c r="K4" s="5" t="inlineStr">
        <is>
          <t xml:space="preserve">First review 201 (id 1); duplicate same order/product 422: You already reviewed this product for this order. You can edit that review instead..</t>
        </is>
      </c>
      <c r="L4" s="5" t="inlineStr">
        <is>
          <t xml:space="preserve">Pass</t>
        </is>
      </c>
      <c r="M4" s="5" t="inlineStr">
        <is>
          <t xml:space="preserve">Tested through the local system API on isolated velure_blackbox; judged against the workbook expected result.</t>
        </is>
      </c>
    </row>
    <row r="5" ht="55" customHeight="1">
      <c r="A5" s="7" t="inlineStr">
        <is>
          <t>BUY-RATE-004</t>
        </is>
      </c>
      <c r="B5" s="8" t="inlineStr">
        <is>
          <t>Ratings &amp; Reviews</t>
        </is>
      </c>
      <c r="C5" s="8" t="inlineStr">
        <is>
          <t>Stars, text and photo limits</t>
        </is>
      </c>
      <c r="D5" s="8" t="inlineStr">
        <is>
          <t>Boundary Value Analysis</t>
        </is>
      </c>
      <c r="E5" s="8" t="inlineStr">
        <is>
          <t>Medium</t>
        </is>
      </c>
      <c r="F5" s="8" t="inlineStr">
        <is>
          <t>Logged in as Buyer 1.</t>
        </is>
      </c>
      <c r="G5" s="8" t="inlineStr">
        <is>
          <t>1. Submit with 0 stars.
2. Submit 500 characters of text, then 501.
3. Attach 5 photos, then try a 6th.</t>
        </is>
      </c>
      <c r="H5" s="8" t="inlineStr"/>
      <c r="I5" s="8" t="inlineStr">
        <is>
          <t>0 stars is blocked. 500 characters and 5 photos are accepted; 501 characters and a 6th photo are not.</t>
        </is>
      </c>
      <c r="J5" s="8" t="inlineStr">
        <is>
          <t>A12</t>
        </is>
      </c>
      <c r="K5" s="5" t="inlineStr">
        <is>
          <t xml:space="preserve">501-character review edit returned 200; required text maximum is 500, current API accepts up to 1,000.</t>
        </is>
      </c>
      <c r="L5" s="5" t="inlineStr">
        <is>
          <t xml:space="preserve">Fail</t>
        </is>
      </c>
      <c r="M5" s="5" t="inlineStr">
        <is>
          <t xml:space="preserve">Tested through the local system API on isolated velure_blackbox; judged against the workbook expected result.</t>
        </is>
      </c>
    </row>
    <row r="6" ht="55" customHeight="1">
      <c r="A6" s="7" t="inlineStr">
        <is>
          <t>BUY-RATE-005</t>
        </is>
      </c>
      <c r="B6" s="8" t="inlineStr">
        <is>
          <t>Ratings &amp; Reviews</t>
        </is>
      </c>
      <c r="C6" s="8" t="inlineStr">
        <is>
          <t>Edit once within the window</t>
        </is>
      </c>
      <c r="D6" s="8" t="inlineStr">
        <is>
          <t>State Transition</t>
        </is>
      </c>
      <c r="E6" s="8" t="inlineStr">
        <is>
          <t>Low</t>
        </is>
      </c>
      <c r="F6" s="8" t="inlineStr">
        <is>
          <t>Logged in as Buyer 1.</t>
        </is>
      </c>
      <c r="G6" s="8" t="inlineStr">
        <is>
          <t>1. Edit the review once.
2. Try to edit again.
3. On another review older than 30 days, try to edit.</t>
        </is>
      </c>
      <c r="H6" s="8" t="inlineStr"/>
      <c r="I6" s="8" t="inlineStr">
        <is>
          <t>The first edit saves. A second edit and an edit after 30 days are not possible.</t>
        </is>
      </c>
      <c r="J6" s="8" t="inlineStr">
        <is>
          <t>A12</t>
        </is>
      </c>
      <c r="K6" s="5" t="inlineStr">
        <is>
          <t xml:space="preserve">Review editing checks only ownership and a 30-day deadline; it does not count prior edits or forbid a second edit, as this case requires.</t>
        </is>
      </c>
      <c r="L6" s="5" t="inlineStr">
        <is>
          <t xml:space="preserve">Fail</t>
        </is>
      </c>
      <c r="M6" s="5" t="inlineStr">
        <is>
          <t xml:space="preserve">Implementation review: backend/app/Http/Controllers/Api/V1/BuyerReviewController.php:138. Required behavior in this case is absent or differs. This finding is not a claimed browser execution.</t>
        </is>
      </c>
    </row>
    <row r="7" ht="29.5" customHeight="1">
      <c r="A7" s="7" t="inlineStr">
        <is>
          <t>BUY-RATE-006</t>
        </is>
      </c>
      <c r="B7" s="8" t="inlineStr">
        <is>
          <t>Ratings &amp; Reviews</t>
        </is>
      </c>
      <c r="C7" s="8" t="inlineStr">
        <is>
          <t>Average rating updates</t>
        </is>
      </c>
      <c r="D7" s="8" t="inlineStr">
        <is>
          <t>Use Case Testing</t>
        </is>
      </c>
      <c r="E7" s="8" t="inlineStr">
        <is>
          <t>Medium</t>
        </is>
      </c>
      <c r="F7" s="8" t="inlineStr">
        <is>
          <t>P-02 has one 4-star review.</t>
        </is>
      </c>
      <c r="G7" s="8" t="inlineStr">
        <is>
          <t>1. Buyer 2 adds a 2-star review.</t>
        </is>
      </c>
      <c r="H7" s="8" t="inlineStr"/>
      <c r="I7" s="8" t="inlineStr">
        <is>
          <t>Average becomes 3.0 and the count 2 on the product page and search card.</t>
        </is>
      </c>
      <c r="J7" s="8" t="inlineStr"/>
      <c r="K7" s="5" t="inlineStr">
        <is>
          <t xml:space="preserve">Dedicated product 22, reviews 4 and 2: detail avg 3, count 2; search avg 3, count 2.</t>
        </is>
      </c>
      <c r="L7" s="5" t="inlineStr">
        <is>
          <t xml:space="preserve">Pass</t>
        </is>
      </c>
      <c r="M7" s="5" t="inlineStr">
        <is>
          <t xml:space="preserve">Fresh equivalent product used because previous cases had already added several reviews to P-02. Both buyers reviewed real completed test orders; arithmetic and public payloads tested.</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BUY-CHAT-001</t>
        </is>
      </c>
      <c r="B2" s="8" t="inlineStr">
        <is>
          <t>Chat &amp; Notifications</t>
        </is>
      </c>
      <c r="C2" s="8" t="inlineStr">
        <is>
          <t>Chat with a seller from a product</t>
        </is>
      </c>
      <c r="D2" s="8" t="inlineStr">
        <is>
          <t>Use Case Testing</t>
        </is>
      </c>
      <c r="E2" s="8" t="inlineStr">
        <is>
          <t>Medium</t>
        </is>
      </c>
      <c r="F2" s="8" t="inlineStr">
        <is>
          <t>Logged in as Buyer 1.</t>
        </is>
      </c>
      <c r="G2" s="8" t="inlineStr">
        <is>
          <t>1. On P-02 click Chat.
2. Send a message and an image.</t>
        </is>
      </c>
      <c r="H2" s="8" t="inlineStr">
        <is>
          <t>Hi, available pa po ba?
review_photo.jpg</t>
        </is>
      </c>
      <c r="I2" s="8" t="inlineStr">
        <is>
          <t>Seller 1 receives both in order. The chat shows the P-02 product card.</t>
        </is>
      </c>
      <c r="J2" s="8" t="inlineStr"/>
      <c r="K2" s="5" t="inlineStr">
        <is>
          <t xml:space="preserve">Buyer opening chat with approved Seller 1 (user role buyer, approved profile accessible) returned 422: Target user is not a registered seller.. No message/photo/product card could be exchanged.</t>
        </is>
      </c>
      <c r="L2" s="5" t="inlineStr">
        <is>
          <t xml:space="preserve">Fail</t>
        </is>
      </c>
      <c r="M2" s="5" t="inlineStr">
        <is>
          <t xml:space="preserve">Actual product-chat request failed; approved_seller portal permission and legacy seller role check disagree.</t>
        </is>
      </c>
    </row>
    <row r="3" ht="42.25" customHeight="1">
      <c r="A3" s="7" t="inlineStr">
        <is>
          <t>BUY-CHAT-002</t>
        </is>
      </c>
      <c r="B3" s="8" t="inlineStr">
        <is>
          <t>Chat &amp; Notifications</t>
        </is>
      </c>
      <c r="C3" s="8" t="inlineStr">
        <is>
          <t>Invalid attachments and message length</t>
        </is>
      </c>
      <c r="D3" s="8" t="inlineStr">
        <is>
          <t>Boundary Value Analysis</t>
        </is>
      </c>
      <c r="E3" s="8" t="inlineStr">
        <is>
          <t>Low</t>
        </is>
      </c>
      <c r="F3" s="8" t="inlineStr">
        <is>
          <t>Logged in as Buyer 1.</t>
        </is>
      </c>
      <c r="G3" s="8" t="inlineStr">
        <is>
          <t>1. Attach installer.exe and size_5.1MB.jpg.
2. Send 1,001 characters.</t>
        </is>
      </c>
      <c r="H3" s="8" t="inlineStr"/>
      <c r="I3" s="8" t="inlineStr">
        <is>
          <t>All are rejected; nothing is sent.</t>
        </is>
      </c>
      <c r="J3" s="8" t="inlineStr">
        <is>
          <t>A16, A25</t>
        </is>
      </c>
      <c r="K3" s="5" t="inlineStr">
        <is>
          <t xml:space="preserve">1,001-character chat message returned 201; workbook requires rejection above 1,000.</t>
        </is>
      </c>
      <c r="L3" s="5" t="inlineStr">
        <is>
          <t xml:space="preserve">Fail</t>
        </is>
      </c>
      <c r="M3" s="5" t="inlineStr">
        <is>
          <t xml:space="preserve">Because product chat is broken, shared conversation message validation was exercised using a valid buyer/admin thread. Same send validator handles both.</t>
        </is>
      </c>
    </row>
    <row r="4" ht="29.5" customHeight="1">
      <c r="A4" s="7" t="inlineStr">
        <is>
          <t>BUY-CHAT-003</t>
        </is>
      </c>
      <c r="B4" s="8" t="inlineStr">
        <is>
          <t>Chat &amp; Notifications</t>
        </is>
      </c>
      <c r="C4" s="8" t="inlineStr">
        <is>
          <t>Order status notifications</t>
        </is>
      </c>
      <c r="D4" s="8" t="inlineStr">
        <is>
          <t>State Transition</t>
        </is>
      </c>
      <c r="E4" s="8" t="inlineStr">
        <is>
          <t>High</t>
        </is>
      </c>
      <c r="F4" s="8" t="inlineStr">
        <is>
          <t>Logged in as Buyer 1.</t>
        </is>
      </c>
      <c r="G4" s="8" t="inlineStr">
        <is>
          <t>1. Move an order through Accepted, Picked Up, Out for Delivery and Delivered.</t>
        </is>
      </c>
      <c r="H4" s="8" t="inlineStr"/>
      <c r="I4" s="8" t="inlineStr">
        <is>
          <t>Exactly one notification per change. Each opens the right order.</t>
        </is>
      </c>
      <c r="J4" s="8" t="inlineStr">
        <is>
          <t>A23</t>
        </is>
      </c>
      <c r="K4" s="5" t="inlineStr">
        <is>
          <t xml:space="preserve">Order status emails and chat unread counts exist, but no general order-notification inbox, per-notification read action or Mark All Read order-notification workflow is registered.</t>
        </is>
      </c>
      <c r="L4" s="5" t="inlineStr">
        <is>
          <t xml:space="preserve">Fail</t>
        </is>
      </c>
      <c r="M4" s="5" t="inlineStr">
        <is>
          <t xml:space="preserve">Implementation review: backend/routes/api.php:179. Required behavior in this case is absent or differs. This finding is not a claimed browser execution.</t>
        </is>
      </c>
    </row>
    <row r="5" ht="29.5" customHeight="1">
      <c r="A5" s="7" t="inlineStr">
        <is>
          <t>BUY-CHAT-004</t>
        </is>
      </c>
      <c r="B5" s="8" t="inlineStr">
        <is>
          <t>Chat &amp; Notifications</t>
        </is>
      </c>
      <c r="C5" s="8" t="inlineStr">
        <is>
          <t>Flash-sale reminder</t>
        </is>
      </c>
      <c r="D5" s="8" t="inlineStr">
        <is>
          <t>Equivalence Partitioning</t>
        </is>
      </c>
      <c r="E5" s="8" t="inlineStr">
        <is>
          <t>Low</t>
        </is>
      </c>
      <c r="F5" s="8" t="inlineStr">
        <is>
          <t>Logged in as Buyer 1. Set a reminder for P-02's flash sale.</t>
        </is>
      </c>
      <c r="G5" s="8" t="inlineStr">
        <is>
          <t>1. Wait for the slot to start.</t>
        </is>
      </c>
      <c r="H5" s="8" t="inlineStr"/>
      <c r="I5" s="8" t="inlineStr">
        <is>
          <t>A reminder arrives before the slot starts and links to P-02.</t>
        </is>
      </c>
      <c r="J5" s="8" t="inlineStr"/>
      <c r="K5" s="5" t="inlineStr">
        <is>
          <t xml:space="preserve">Could not complete flash-sale reminder: no flash-sale slot/reminder subscription can be created, so there is no scheduled reminder event to observe.</t>
        </is>
      </c>
      <c r="L5" s="5" t="inlineStr">
        <is>
          <t xml:space="preserve">Blocked</t>
        </is>
      </c>
      <c r="M5" s="5" t="inlineStr">
        <is>
          <t xml:space="preserve">Blocked prerequisite: SEL-FLASH-001. The required setup/action was unavailable, so the dependent expected result was not verified. Evidence reviewed from the existing runtime/implementation findings; this status review did not rerun the system.</t>
        </is>
      </c>
    </row>
    <row r="6" ht="29.5" customHeight="1">
      <c r="A6" s="7" t="inlineStr">
        <is>
          <t>BUY-CHAT-005</t>
        </is>
      </c>
      <c r="B6" s="8" t="inlineStr">
        <is>
          <t>Chat &amp; Notifications</t>
        </is>
      </c>
      <c r="C6" s="8" t="inlineStr">
        <is>
          <t>Mark notifications as read</t>
        </is>
      </c>
      <c r="D6" s="8" t="inlineStr">
        <is>
          <t>Use Case Testing</t>
        </is>
      </c>
      <c r="E6" s="8" t="inlineStr">
        <is>
          <t>Low</t>
        </is>
      </c>
      <c r="F6" s="8" t="inlineStr">
        <is>
          <t>Logged in as Buyer 1. 3 unread notifications.</t>
        </is>
      </c>
      <c r="G6" s="8" t="inlineStr">
        <is>
          <t>1. Open one notification.
2. Click Mark all as read.</t>
        </is>
      </c>
      <c r="H6" s="8" t="inlineStr"/>
      <c r="I6" s="8" t="inlineStr">
        <is>
          <t>Unread count goes 3 → 2 → 0.</t>
        </is>
      </c>
      <c r="J6" s="8" t="inlineStr"/>
      <c r="K6" s="5" t="inlineStr">
        <is>
          <t xml:space="preserve">Could not complete mark notifications as read: the general order-notification inbox cannot supply three unread notifications or per-item/Mark All Read actions. Chat unread counters are a different resource.</t>
        </is>
      </c>
      <c r="L6" s="5" t="inlineStr">
        <is>
          <t xml:space="preserve">Blocked</t>
        </is>
      </c>
      <c r="M6" s="5" t="inlineStr">
        <is>
          <t xml:space="preserve">Blocked prerequisite: BUY-CHAT-003. The required setup/action was unavailable, so the dependent expected result was not verified. Evidence reviewed from the existing runtime/implementation findings; this status review did not rerun the system.</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