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L1 Dashboard" sheetId="4" state="visible" r:id="rId4"/>
    <sheet xmlns:r="http://schemas.openxmlformats.org/officeDocument/2006/relationships" name="L2 Rider Mgmt" sheetId="5" state="visible" r:id="rId5"/>
    <sheet xmlns:r="http://schemas.openxmlformats.org/officeDocument/2006/relationships" name="L3 Dispatch" sheetId="6" state="visible" r:id="rId6"/>
    <sheet xmlns:r="http://schemas.openxmlformats.org/officeDocument/2006/relationships" name="L4 Hub Ops" sheetId="7" state="visible" r:id="rId7"/>
    <sheet xmlns:r="http://schemas.openxmlformats.org/officeDocument/2006/relationships" name="L5 Tracking &amp; Exceptions" sheetId="8" state="visible" r:id="rId8"/>
    <sheet xmlns:r="http://schemas.openxmlformats.org/officeDocument/2006/relationships" name="L6 Returns (RTS)" sheetId="9" state="visible" r:id="rId9"/>
    <sheet xmlns:r="http://schemas.openxmlformats.org/officeDocument/2006/relationships" name="L7 Zones &amp; Rates" sheetId="10" state="visible" r:id="rId10"/>
    <sheet xmlns:r="http://schemas.openxmlformats.org/officeDocument/2006/relationships" name="L8 COD &amp; Reports" sheetId="11" state="visible" r:id="rId11"/>
  </sheets>
  <definedNames>
    <definedName name="_xlnm._FilterDatabase" localSheetId="3" hidden="1">'L1 Dashboard'!$A$1:$M$5</definedName>
    <definedName name="_xlnm._FilterDatabase" localSheetId="4" hidden="1">'L2 Rider Mgmt'!$A$1:$M$8</definedName>
    <definedName name="_xlnm._FilterDatabase" localSheetId="5" hidden="1">'L3 Dispatch'!$A$1:$M$9</definedName>
    <definedName name="_xlnm._FilterDatabase" localSheetId="6" hidden="1">'L4 Hub Ops'!$A$1:$M$8</definedName>
    <definedName name="_xlnm._FilterDatabase" localSheetId="7" hidden="1">'L5 Tracking &amp; Exceptions'!$A$1:$M$6</definedName>
    <definedName name="_xlnm._FilterDatabase" localSheetId="8" hidden="1">'L6 Returns (RTS)'!$A$1:$M$5</definedName>
    <definedName name="_xlnm._FilterDatabase" localSheetId="9" hidden="1">'L7 Zones &amp; Rates'!$A$1:$M$5</definedName>
    <definedName name="_xlnm._FilterDatabase" localSheetId="10" hidden="1">'L8 COD &amp; Reports'!$A$1:$M$6</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Logistics Modules (L1–L8)</t>
        </is>
      </c>
    </row>
    <row r="2">
      <c r="A2" s="2" t="inlineStr">
        <is>
          <t>Multi-role e-commerce and logistics platform (Buyer, Seller, Logistics, Rider)</t>
        </is>
      </c>
    </row>
    <row r="4">
      <c r="A4" s="3" t="inlineStr">
        <is>
          <t>Test run details</t>
        </is>
      </c>
    </row>
    <row r="5">
      <c r="A5" s="4" t="inlineStr">
        <is>
          <t>System under test</t>
        </is>
      </c>
      <c r="B5" s="5" t="n"/>
    </row>
    <row r="6">
      <c r="A6" s="4" t="inlineStr">
        <is>
          <t>Version / build</t>
        </is>
      </c>
      <c r="B6" s="5" t="n"/>
    </row>
    <row r="7">
      <c r="A7" s="4" t="inlineStr">
        <is>
          <t>Test environment (browser, device)</t>
        </is>
      </c>
      <c r="B7" s="5" t="n"/>
    </row>
    <row r="8">
      <c r="A8" s="4" t="inlineStr">
        <is>
          <t>Tester</t>
        </is>
      </c>
      <c r="B8" s="5" t="n"/>
    </row>
    <row r="9">
      <c r="A9" s="4" t="inlineStr">
        <is>
          <t>Date tested</t>
        </is>
      </c>
      <c r="B9" s="5" t="n"/>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L1 Dashboard</t>
        </is>
      </c>
      <c r="B13" s="8">
        <f>COUNTA('L1 Dashboard'!$A$2:$A$200)</f>
        <v/>
      </c>
      <c r="C13" s="8">
        <f>COUNTIF('L1 Dashboard'!$L$2:$L$200,"Pass")</f>
        <v/>
      </c>
      <c r="D13" s="8">
        <f>COUNTIF('L1 Dashboard'!$L$2:$L$200,"Fail")</f>
        <v/>
      </c>
      <c r="E13" s="8">
        <f>COUNTIF('L1 Dashboard'!$L$2:$L$200,"Blocked")</f>
        <v/>
      </c>
      <c r="F13" s="8">
        <f>COUNTIF('L1 Dashboard'!$L$2:$L$200,"Not Run")</f>
        <v/>
      </c>
      <c r="G13" s="9">
        <f>IF(B13=0,0,C13/B13)</f>
        <v/>
      </c>
    </row>
    <row r="14">
      <c r="A14" s="7" t="inlineStr">
        <is>
          <t>L2 Rider Mgmt</t>
        </is>
      </c>
      <c r="B14" s="8">
        <f>COUNTA('L2 Rider Mgmt'!$A$2:$A$200)</f>
        <v/>
      </c>
      <c r="C14" s="8">
        <f>COUNTIF('L2 Rider Mgmt'!$L$2:$L$200,"Pass")</f>
        <v/>
      </c>
      <c r="D14" s="8">
        <f>COUNTIF('L2 Rider Mgmt'!$L$2:$L$200,"Fail")</f>
        <v/>
      </c>
      <c r="E14" s="8">
        <f>COUNTIF('L2 Rider Mgmt'!$L$2:$L$200,"Blocked")</f>
        <v/>
      </c>
      <c r="F14" s="8">
        <f>COUNTIF('L2 Rider Mgmt'!$L$2:$L$200,"Not Run")</f>
        <v/>
      </c>
      <c r="G14" s="9">
        <f>IF(B14=0,0,C14/B14)</f>
        <v/>
      </c>
    </row>
    <row r="15">
      <c r="A15" s="7" t="inlineStr">
        <is>
          <t>L3 Dispatch</t>
        </is>
      </c>
      <c r="B15" s="8">
        <f>COUNTA('L3 Dispatch'!$A$2:$A$200)</f>
        <v/>
      </c>
      <c r="C15" s="8">
        <f>COUNTIF('L3 Dispatch'!$L$2:$L$200,"Pass")</f>
        <v/>
      </c>
      <c r="D15" s="8">
        <f>COUNTIF('L3 Dispatch'!$L$2:$L$200,"Fail")</f>
        <v/>
      </c>
      <c r="E15" s="8">
        <f>COUNTIF('L3 Dispatch'!$L$2:$L$200,"Blocked")</f>
        <v/>
      </c>
      <c r="F15" s="8">
        <f>COUNTIF('L3 Dispatch'!$L$2:$L$200,"Not Run")</f>
        <v/>
      </c>
      <c r="G15" s="9">
        <f>IF(B15=0,0,C15/B15)</f>
        <v/>
      </c>
    </row>
    <row r="16">
      <c r="A16" s="7" t="inlineStr">
        <is>
          <t>L4 Hub Ops</t>
        </is>
      </c>
      <c r="B16" s="8">
        <f>COUNTA('L4 Hub Ops'!$A$2:$A$200)</f>
        <v/>
      </c>
      <c r="C16" s="8">
        <f>COUNTIF('L4 Hub Ops'!$L$2:$L$200,"Pass")</f>
        <v/>
      </c>
      <c r="D16" s="8">
        <f>COUNTIF('L4 Hub Ops'!$L$2:$L$200,"Fail")</f>
        <v/>
      </c>
      <c r="E16" s="8">
        <f>COUNTIF('L4 Hub Ops'!$L$2:$L$200,"Blocked")</f>
        <v/>
      </c>
      <c r="F16" s="8">
        <f>COUNTIF('L4 Hub Ops'!$L$2:$L$200,"Not Run")</f>
        <v/>
      </c>
      <c r="G16" s="9">
        <f>IF(B16=0,0,C16/B16)</f>
        <v/>
      </c>
    </row>
    <row r="17">
      <c r="A17" s="7" t="inlineStr">
        <is>
          <t>L5 Tracking &amp; Exceptions</t>
        </is>
      </c>
      <c r="B17" s="8">
        <f>COUNTA('L5 Tracking &amp; Exceptions'!$A$2:$A$200)</f>
        <v/>
      </c>
      <c r="C17" s="8">
        <f>COUNTIF('L5 Tracking &amp; Exceptions'!$L$2:$L$200,"Pass")</f>
        <v/>
      </c>
      <c r="D17" s="8">
        <f>COUNTIF('L5 Tracking &amp; Exceptions'!$L$2:$L$200,"Fail")</f>
        <v/>
      </c>
      <c r="E17" s="8">
        <f>COUNTIF('L5 Tracking &amp; Exceptions'!$L$2:$L$200,"Blocked")</f>
        <v/>
      </c>
      <c r="F17" s="8">
        <f>COUNTIF('L5 Tracking &amp; Exceptions'!$L$2:$L$200,"Not Run")</f>
        <v/>
      </c>
      <c r="G17" s="9">
        <f>IF(B17=0,0,C17/B17)</f>
        <v/>
      </c>
    </row>
    <row r="18">
      <c r="A18" s="7" t="inlineStr">
        <is>
          <t>L6 Returns (RTS)</t>
        </is>
      </c>
      <c r="B18" s="8">
        <f>COUNTA('L6 Returns (RTS)'!$A$2:$A$200)</f>
        <v/>
      </c>
      <c r="C18" s="8">
        <f>COUNTIF('L6 Returns (RTS)'!$L$2:$L$200,"Pass")</f>
        <v/>
      </c>
      <c r="D18" s="8">
        <f>COUNTIF('L6 Returns (RTS)'!$L$2:$L$200,"Fail")</f>
        <v/>
      </c>
      <c r="E18" s="8">
        <f>COUNTIF('L6 Returns (RTS)'!$L$2:$L$200,"Blocked")</f>
        <v/>
      </c>
      <c r="F18" s="8">
        <f>COUNTIF('L6 Returns (RTS)'!$L$2:$L$200,"Not Run")</f>
        <v/>
      </c>
      <c r="G18" s="9">
        <f>IF(B18=0,0,C18/B18)</f>
        <v/>
      </c>
    </row>
    <row r="19">
      <c r="A19" s="7" t="inlineStr">
        <is>
          <t>L7 Zones &amp; Rates</t>
        </is>
      </c>
      <c r="B19" s="8">
        <f>COUNTA('L7 Zones &amp; Rates'!$A$2:$A$200)</f>
        <v/>
      </c>
      <c r="C19" s="8">
        <f>COUNTIF('L7 Zones &amp; Rates'!$L$2:$L$200,"Pass")</f>
        <v/>
      </c>
      <c r="D19" s="8">
        <f>COUNTIF('L7 Zones &amp; Rates'!$L$2:$L$200,"Fail")</f>
        <v/>
      </c>
      <c r="E19" s="8">
        <f>COUNTIF('L7 Zones &amp; Rates'!$L$2:$L$200,"Blocked")</f>
        <v/>
      </c>
      <c r="F19" s="8">
        <f>COUNTIF('L7 Zones &amp; Rates'!$L$2:$L$200,"Not Run")</f>
        <v/>
      </c>
      <c r="G19" s="9">
        <f>IF(B19=0,0,C19/B19)</f>
        <v/>
      </c>
    </row>
    <row r="20">
      <c r="A20" s="7" t="inlineStr">
        <is>
          <t>L8 COD &amp; Reports</t>
        </is>
      </c>
      <c r="B20" s="8">
        <f>COUNTA('L8 COD &amp; Reports'!$A$2:$A$200)</f>
        <v/>
      </c>
      <c r="C20" s="8">
        <f>COUNTIF('L8 COD &amp; Reports'!$L$2:$L$200,"Pass")</f>
        <v/>
      </c>
      <c r="D20" s="8">
        <f>COUNTIF('L8 COD &amp; Reports'!$L$2:$L$200,"Fail")</f>
        <v/>
      </c>
      <c r="E20" s="8">
        <f>COUNTIF('L8 COD &amp; Reports'!$L$2:$L$200,"Blocked")</f>
        <v/>
      </c>
      <c r="F20" s="8">
        <f>COUNTIF('L8 COD &amp; Reports'!$L$2:$L$200,"Not Run")</f>
        <v/>
      </c>
      <c r="G20" s="9">
        <f>IF(B20=0,0,C20/B20)</f>
        <v/>
      </c>
    </row>
    <row r="21">
      <c r="A21" s="4" t="inlineStr">
        <is>
          <t>Total</t>
        </is>
      </c>
      <c r="B21" s="4">
        <f>SUM(B13:B20)</f>
        <v/>
      </c>
      <c r="C21" s="4">
        <f>SUM(C13:C20)</f>
        <v/>
      </c>
      <c r="D21" s="4">
        <f>SUM(D13:D20)</f>
        <v/>
      </c>
      <c r="E21" s="4">
        <f>SUM(E13:E20)</f>
        <v/>
      </c>
      <c r="F21" s="4">
        <f>SUM(F13:F20)</f>
        <v/>
      </c>
      <c r="G21" s="10">
        <f>IF(B21=0,0,C21/B21)</f>
        <v/>
      </c>
    </row>
    <row r="23">
      <c r="A23" s="3" t="inlineStr">
        <is>
          <t>How to use this workbook</t>
        </is>
      </c>
    </row>
    <row r="24" ht="16.75" customHeight="1">
      <c r="A24" s="11" t="inlineStr">
        <is>
          <t>1. Logistics cases need parcels from the Seller and Buyer test sets and riders from the Account Creation set.</t>
        </is>
      </c>
    </row>
    <row r="25" ht="29.5" customHeight="1">
      <c r="A25"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26" ht="29.5" customHeight="1">
      <c r="A26" s="11" t="inlineStr">
        <is>
          <t>3. Check side effects, not just the screen: after each case, confirm the stock, order status, voucher usage, balances and the other roles' views named in the Expected Result. 'Nothing is saved' means the record is missing after a page refresh.</t>
        </is>
      </c>
    </row>
    <row r="27" ht="29.5" customHeight="1">
      <c r="A27" s="11" t="inlineStr">
        <is>
          <t>4. Error messages must appear next to the field (or at the top of the form) and say what is wrong and how to fix it. A generic 'Something went wrong', a blank page, or a 500 error is a Fail even when the action was correctly blocked.</t>
        </is>
      </c>
    </row>
    <row r="28" ht="29.5" customHeight="1">
      <c r="A28" s="11" t="inlineStr">
        <is>
          <t>5. For 'Error Guessing' security cases, a correct block shows a 403 page, a 'not found' page or a redirect, and shows NO data from the other user's record anywhere on the page.</t>
        </is>
      </c>
    </row>
    <row r="29" ht="29.5" customHeight="1">
      <c r="A29" s="11" t="inlineStr">
        <is>
          <t>6. Read the Assumptions sheet first. Rules A2 to A8 are the seven rules the module plan says must be agreed before testing; adjust any case whose rule differs from your system.</t>
        </is>
      </c>
    </row>
    <row r="30" ht="29.5" customHeight="1">
      <c r="A30" s="11" t="inlineStr">
        <is>
          <t>7. Seed the accounts, products, vouchers and shipping rates on the Test Data sheet before running the cases. Emails use example.com; read them from a mail catcher such as Mailtrap.</t>
        </is>
      </c>
    </row>
    <row r="31" ht="16.75" customHeight="1">
      <c r="A31" s="11" t="inlineStr">
        <is>
          <t>8. Test Case IDs follow &lt;ROLE&gt;-&lt;MODULE&gt;-&lt;NNN&gt;. Each module has positive, negative and boundary cases.</t>
        </is>
      </c>
    </row>
    <row r="32" ht="16.75" customHeight="1">
      <c r="A32" s="11" t="inlineStr">
        <is>
          <t>9. Fill in only the yellow cells: Actual Result, Status and Remarks. Pick the Status from the dropdown (Pass, Fail, Blocked, Not Run).</t>
        </is>
      </c>
    </row>
    <row r="33" ht="29.5" customHeight="1">
      <c r="A33" s="11" t="inlineStr">
        <is>
          <t>10. Pass = actual matches expected. Fail = it does not (describe what happened and add a screenshot or bug number in Remarks). Blocked = the case could not be run, for example because an earlier case failed.</t>
        </is>
      </c>
    </row>
    <row r="34" ht="16.75" customHeight="1">
      <c r="A34" s="11" t="inlineStr">
        <is>
          <t>11. The Results by module table above updates automatically from the Status column.</t>
        </is>
      </c>
    </row>
    <row r="36">
      <c r="A36" s="3" t="inlineStr">
        <is>
          <t>Black-box techniques used</t>
        </is>
      </c>
    </row>
    <row r="37">
      <c r="A37" s="4" t="inlineStr">
        <is>
          <t>Equivalence Partitioning</t>
        </is>
      </c>
      <c r="B37" s="8" t="inlineStr">
        <is>
          <t>Inputs are grouped into valid and invalid classes, and one value from each class is tested.</t>
        </is>
      </c>
      <c r="C37" s="12" t="n"/>
      <c r="D37" s="12" t="n"/>
      <c r="E37" s="12" t="n"/>
      <c r="F37" s="12" t="n"/>
      <c r="G37" s="13" t="n"/>
    </row>
    <row r="38">
      <c r="A38" s="4" t="inlineStr">
        <is>
          <t>Boundary Value Analysis</t>
        </is>
      </c>
      <c r="B38" s="8" t="inlineStr">
        <is>
          <t>Values at and just beyond a limit are tested, for example ₱0.99, ₱1.00 and ₱1.01 for a ₱1.00 minimum price.</t>
        </is>
      </c>
      <c r="C38" s="12" t="n"/>
      <c r="D38" s="12" t="n"/>
      <c r="E38" s="12" t="n"/>
      <c r="F38" s="12" t="n"/>
      <c r="G38" s="13" t="n"/>
    </row>
    <row r="39">
      <c r="A39" s="4" t="inlineStr">
        <is>
          <t>Decision Table</t>
        </is>
      </c>
      <c r="B39" s="8" t="inlineStr">
        <is>
          <t>Combinations of conditions are tested, for example which vouchers can stack.</t>
        </is>
      </c>
      <c r="C39" s="12" t="n"/>
      <c r="D39" s="12" t="n"/>
      <c r="E39" s="12" t="n"/>
      <c r="F39" s="12" t="n"/>
      <c r="G39" s="13" t="n"/>
    </row>
    <row r="40">
      <c r="A40" s="4" t="inlineStr">
        <is>
          <t>State Transition</t>
        </is>
      </c>
      <c r="B40" s="8" t="inlineStr">
        <is>
          <t>Changes in order or shipment status are tested, including transitions that must be blocked.</t>
        </is>
      </c>
      <c r="C40" s="12" t="n"/>
      <c r="D40" s="12" t="n"/>
      <c r="E40" s="12" t="n"/>
      <c r="F40" s="12" t="n"/>
      <c r="G40" s="13" t="n"/>
    </row>
    <row r="41">
      <c r="A41" s="4" t="inlineStr">
        <is>
          <t>Use Case Testing</t>
        </is>
      </c>
      <c r="B41" s="8" t="inlineStr">
        <is>
          <t>A complete user flow is tested from start to finish with valid data.</t>
        </is>
      </c>
      <c r="C41" s="12" t="n"/>
      <c r="D41" s="12" t="n"/>
      <c r="E41" s="12" t="n"/>
      <c r="F41" s="12" t="n"/>
      <c r="G41" s="13" t="n"/>
    </row>
    <row r="42">
      <c r="A42" s="4" t="inlineStr">
        <is>
          <t>Error Guessing</t>
        </is>
      </c>
      <c r="B42" s="8" t="inlineStr">
        <is>
          <t>Likely mistakes are tested based on experience, for example double-clicking Place Order or editing an ID in the URL.</t>
        </is>
      </c>
      <c r="C42" s="12" t="n"/>
      <c r="D42" s="12" t="n"/>
      <c r="E42" s="12" t="n"/>
      <c r="F42" s="12" t="n"/>
      <c r="G42" s="13" t="n"/>
    </row>
  </sheetData>
  <mergeCells count="17">
    <mergeCell ref="A32:G32"/>
    <mergeCell ref="B38:G38"/>
    <mergeCell ref="B42:G42"/>
    <mergeCell ref="A27:G27"/>
    <mergeCell ref="A31:G31"/>
    <mergeCell ref="B37:G37"/>
    <mergeCell ref="A34:G34"/>
    <mergeCell ref="B41:G41"/>
    <mergeCell ref="A26:G26"/>
    <mergeCell ref="A24:G24"/>
    <mergeCell ref="A30:G30"/>
    <mergeCell ref="B40:G40"/>
    <mergeCell ref="A29:G29"/>
    <mergeCell ref="A25:G25"/>
    <mergeCell ref="A33:G33"/>
    <mergeCell ref="B39:G39"/>
    <mergeCell ref="A28:G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n"/>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n"/>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n"/>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n"/>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n"/>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n"/>
    </row>
    <row r="37" ht="29.5" customHeight="1">
      <c r="A37" s="7" t="inlineStr">
        <is>
          <t>A33</t>
        </is>
      </c>
      <c r="B37" s="7" t="inlineStr">
        <is>
          <t>Rider pay</t>
        </is>
      </c>
      <c r="C37" s="8" t="inlineStr">
        <is>
          <t>₱50.00 per successful delivery, ₱30.00 per completed pickup, ₱0.00 for a failed attempt. Pay is not reduced by COD.</t>
        </is>
      </c>
      <c r="D37" s="5" t="n"/>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LOG-DASH-001</t>
        </is>
      </c>
      <c r="B2" s="8" t="inlineStr">
        <is>
          <t>Operations Dashboard</t>
        </is>
      </c>
      <c r="C2" s="8" t="inlineStr">
        <is>
          <t>Counts match the records</t>
        </is>
      </c>
      <c r="D2" s="8" t="inlineStr">
        <is>
          <t>Use Case Testing</t>
        </is>
      </c>
      <c r="E2" s="8" t="inlineStr">
        <is>
          <t>High</t>
        </is>
      </c>
      <c r="F2" s="8" t="inlineStr">
        <is>
          <t>Logged in as Logistics 1. Shipments exist in Pending (Ready for Pickup/Unassigned), In Transit, Delivered and Failed.</t>
        </is>
      </c>
      <c r="G2" s="8" t="inlineStr">
        <is>
          <t>1. Open the dashboard and note each count.
2. Open the shipment list filtered by each status and count the rows.</t>
        </is>
      </c>
      <c r="H2" s="8" t="inlineStr"/>
      <c r="I2" s="8" t="inlineStr">
        <is>
          <t>Each dashboard count equals the filtered list exactly.</t>
        </is>
      </c>
      <c r="J2" s="8" t="inlineStr"/>
      <c r="K2" s="5" t="n"/>
      <c r="L2" s="5" t="inlineStr">
        <is>
          <t>Not Run</t>
        </is>
      </c>
      <c r="M2" s="5" t="n"/>
    </row>
    <row r="3" ht="42.25" customHeight="1">
      <c r="A3" s="7" t="inlineStr">
        <is>
          <t>LOG-DASH-002</t>
        </is>
      </c>
      <c r="B3" s="8" t="inlineStr">
        <is>
          <t>Operations Dashboard</t>
        </is>
      </c>
      <c r="C3" s="8" t="inlineStr">
        <is>
          <t>Counts update after a status change</t>
        </is>
      </c>
      <c r="D3" s="8" t="inlineStr">
        <is>
          <t>State Transition</t>
        </is>
      </c>
      <c r="E3" s="8" t="inlineStr">
        <is>
          <t>Medium</t>
        </is>
      </c>
      <c r="F3" s="8" t="inlineStr">
        <is>
          <t>Logged in as Logistics 1.</t>
        </is>
      </c>
      <c r="G3" s="8" t="inlineStr">
        <is>
          <t>1. Note In Transit and Delivered.
2. Rider 1 marks a parcel Delivered.
3. Refresh the dashboard.</t>
        </is>
      </c>
      <c r="H3" s="8" t="inlineStr"/>
      <c r="I3" s="8" t="inlineStr">
        <is>
          <t>In Transit −1 and Delivered +1; other counts unchanged.</t>
        </is>
      </c>
      <c r="J3" s="8" t="inlineStr"/>
      <c r="K3" s="5" t="n"/>
      <c r="L3" s="5" t="inlineStr">
        <is>
          <t>Not Run</t>
        </is>
      </c>
      <c r="M3" s="5" t="n"/>
    </row>
    <row r="4" ht="29.5" customHeight="1">
      <c r="A4" s="7" t="inlineStr">
        <is>
          <t>LOG-DASH-003</t>
        </is>
      </c>
      <c r="B4" s="8" t="inlineStr">
        <is>
          <t>Operations Dashboard</t>
        </is>
      </c>
      <c r="C4" s="8" t="inlineStr">
        <is>
          <t>Date filter</t>
        </is>
      </c>
      <c r="D4" s="8" t="inlineStr">
        <is>
          <t>Boundary Value Analysis</t>
        </is>
      </c>
      <c r="E4" s="8" t="inlineStr">
        <is>
          <t>Medium</t>
        </is>
      </c>
      <c r="F4" s="8" t="inlineStr">
        <is>
          <t>Logged in as Logistics 1.</t>
        </is>
      </c>
      <c r="G4" s="8" t="inlineStr">
        <is>
          <t>1. Filter today and a range that starts and ends on a shipment's date.</t>
        </is>
      </c>
      <c r="H4" s="8" t="inlineStr"/>
      <c r="I4" s="8" t="inlineStr">
        <is>
          <t>Shipments on the start and end dates are counted.</t>
        </is>
      </c>
      <c r="J4" s="8" t="inlineStr"/>
      <c r="K4" s="5" t="n"/>
      <c r="L4" s="5" t="inlineStr">
        <is>
          <t>Not Run</t>
        </is>
      </c>
      <c r="M4" s="5" t="n"/>
    </row>
    <row r="5" ht="29.5" customHeight="1">
      <c r="A5" s="7" t="inlineStr">
        <is>
          <t>LOG-DASH-004</t>
        </is>
      </c>
      <c r="B5" s="8" t="inlineStr">
        <is>
          <t>Operations Dashboard</t>
        </is>
      </c>
      <c r="C5" s="8" t="inlineStr">
        <is>
          <t>Only own company's data</t>
        </is>
      </c>
      <c r="D5" s="8" t="inlineStr">
        <is>
          <t>Error Guessing</t>
        </is>
      </c>
      <c r="E5" s="8" t="inlineStr">
        <is>
          <t>High</t>
        </is>
      </c>
      <c r="F5" s="8" t="inlineStr">
        <is>
          <t>Logged in as Logistics 1. Logistics 2 has shipments.</t>
        </is>
      </c>
      <c r="G5" s="8" t="inlineStr">
        <is>
          <t>1. Compare the dashboard with Logistics 2's shipment count.</t>
        </is>
      </c>
      <c r="H5" s="8" t="inlineStr"/>
      <c r="I5" s="8" t="inlineStr">
        <is>
          <t>No Logistics 2 shipment is counted or listed.</t>
        </is>
      </c>
      <c r="J5" s="8" t="inlineStr">
        <is>
          <t>A22</t>
        </is>
      </c>
      <c r="K5" s="5" t="n"/>
      <c r="L5" s="5" t="inlineStr">
        <is>
          <t>Not Run</t>
        </is>
      </c>
      <c r="M5" s="5" t="n"/>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LOG-RIDER-001</t>
        </is>
      </c>
      <c r="B2" s="8" t="inlineStr">
        <is>
          <t>Rider Management</t>
        </is>
      </c>
      <c r="C2" s="8" t="inlineStr">
        <is>
          <t>Approve a rider</t>
        </is>
      </c>
      <c r="D2" s="8" t="inlineStr">
        <is>
          <t>State Transition</t>
        </is>
      </c>
      <c r="E2" s="8" t="inlineStr">
        <is>
          <t>High</t>
        </is>
      </c>
      <c r="F2" s="8" t="inlineStr">
        <is>
          <t>Logged in as Logistics 1. A rider (rider.test02@example.com) is pending verification.</t>
        </is>
      </c>
      <c r="G2" s="8" t="inlineStr">
        <is>
          <t>1. Open the record and both documents.
2. Click Approve.
3. Log in as that rider and go Online.</t>
        </is>
      </c>
      <c r="H2" s="8" t="inlineStr"/>
      <c r="I2" s="8" t="inlineStr">
        <is>
          <t>Status Active; the rider can go Online. The approval is in the audit log.</t>
        </is>
      </c>
      <c r="J2" s="8" t="inlineStr">
        <is>
          <t>A14, A35</t>
        </is>
      </c>
      <c r="K2" s="5" t="n"/>
      <c r="L2" s="5" t="inlineStr">
        <is>
          <t>Not Run</t>
        </is>
      </c>
      <c r="M2" s="5" t="n"/>
    </row>
    <row r="3" ht="42.25" customHeight="1">
      <c r="A3" s="7" t="inlineStr">
        <is>
          <t>LOG-RIDER-002</t>
        </is>
      </c>
      <c r="B3" s="8" t="inlineStr">
        <is>
          <t>Rider Management</t>
        </is>
      </c>
      <c r="C3" s="8" t="inlineStr">
        <is>
          <t>Reject a rider with a reason</t>
        </is>
      </c>
      <c r="D3" s="8" t="inlineStr">
        <is>
          <t>State Transition</t>
        </is>
      </c>
      <c r="E3" s="8" t="inlineStr">
        <is>
          <t>Medium</t>
        </is>
      </c>
      <c r="F3" s="8" t="inlineStr">
        <is>
          <t>Logged in as Logistics 1.</t>
        </is>
      </c>
      <c r="G3" s="8" t="inlineStr">
        <is>
          <t>1. Click Reject with an empty reason.
2. Reject with the test reason.</t>
        </is>
      </c>
      <c r="H3" s="8" t="inlineStr">
        <is>
          <t>Reason: OR/CR photo is unreadable, please re-upload.</t>
        </is>
      </c>
      <c r="I3" s="8" t="inlineStr">
        <is>
          <t>The empty reason is blocked. After rejection the rider is notified with the exact reason and cannot go Online.</t>
        </is>
      </c>
      <c r="J3" s="8" t="inlineStr">
        <is>
          <t>A25</t>
        </is>
      </c>
      <c r="K3" s="5" t="n"/>
      <c r="L3" s="5" t="inlineStr">
        <is>
          <t>Not Run</t>
        </is>
      </c>
      <c r="M3" s="5" t="n"/>
    </row>
    <row r="4" ht="55" customHeight="1">
      <c r="A4" s="7" t="inlineStr">
        <is>
          <t>LOG-RIDER-003</t>
        </is>
      </c>
      <c r="B4" s="8" t="inlineStr">
        <is>
          <t>Rider Management</t>
        </is>
      </c>
      <c r="C4" s="8" t="inlineStr">
        <is>
          <t>Suspend a rider with active jobs</t>
        </is>
      </c>
      <c r="D4" s="8" t="inlineStr">
        <is>
          <t>State Transition</t>
        </is>
      </c>
      <c r="E4" s="8" t="inlineStr">
        <is>
          <t>High</t>
        </is>
      </c>
      <c r="F4" s="8" t="inlineStr">
        <is>
          <t>Logged in as Logistics 1. Rider 2 is Online with 1 Assigned (not picked up) job and 1 Picked Up job.</t>
        </is>
      </c>
      <c r="G4" s="8" t="inlineStr">
        <is>
          <t>1. Suspend Rider 2 with a reason.
2. Check Rider 2's app, the Unassigned queue and the audit log.</t>
        </is>
      </c>
      <c r="H4" s="8" t="inlineStr">
        <is>
          <t>Reason: Repeated late deliveries this week.</t>
        </is>
      </c>
      <c r="I4" s="8" t="inlineStr">
        <is>
          <t>Rider 2 goes Offline and cannot go Online. The Assigned job moves to the Unassigned queue; the Picked Up job stays with Rider 2. The suspension is logged.</t>
        </is>
      </c>
      <c r="J4" s="8" t="inlineStr">
        <is>
          <t>A34, A35</t>
        </is>
      </c>
      <c r="K4" s="5" t="n"/>
      <c r="L4" s="5" t="inlineStr">
        <is>
          <t>Not Run</t>
        </is>
      </c>
      <c r="M4" s="5" t="n"/>
    </row>
    <row r="5" ht="29.5" customHeight="1">
      <c r="A5" s="7" t="inlineStr">
        <is>
          <t>LOG-RIDER-004</t>
        </is>
      </c>
      <c r="B5" s="8" t="inlineStr">
        <is>
          <t>Rider Management</t>
        </is>
      </c>
      <c r="C5" s="8" t="inlineStr">
        <is>
          <t>Suspend without a reason</t>
        </is>
      </c>
      <c r="D5" s="8" t="inlineStr">
        <is>
          <t>Equivalence Partitioning</t>
        </is>
      </c>
      <c r="E5" s="8" t="inlineStr">
        <is>
          <t>Medium</t>
        </is>
      </c>
      <c r="F5" s="8" t="inlineStr">
        <is>
          <t>Logged in as Logistics 1.</t>
        </is>
      </c>
      <c r="G5" s="8" t="inlineStr">
        <is>
          <t>1. Click Suspend with an empty or 9-character reason.</t>
        </is>
      </c>
      <c r="H5" s="8" t="inlineStr"/>
      <c r="I5" s="8" t="inlineStr">
        <is>
          <t>Blocked; rider unchanged.</t>
        </is>
      </c>
      <c r="J5" s="8" t="inlineStr">
        <is>
          <t>A25</t>
        </is>
      </c>
      <c r="K5" s="5" t="n"/>
      <c r="L5" s="5" t="inlineStr">
        <is>
          <t>Not Run</t>
        </is>
      </c>
      <c r="M5" s="5" t="n"/>
    </row>
    <row r="6" ht="29.5" customHeight="1">
      <c r="A6" s="7" t="inlineStr">
        <is>
          <t>LOG-RIDER-005</t>
        </is>
      </c>
      <c r="B6" s="8" t="inlineStr">
        <is>
          <t>Rider Management</t>
        </is>
      </c>
      <c r="C6" s="8" t="inlineStr">
        <is>
          <t>Reactivate a rider</t>
        </is>
      </c>
      <c r="D6" s="8" t="inlineStr">
        <is>
          <t>State Transition</t>
        </is>
      </c>
      <c r="E6" s="8" t="inlineStr">
        <is>
          <t>Medium</t>
        </is>
      </c>
      <c r="F6" s="8" t="inlineStr">
        <is>
          <t>Rider 3 is Suspended.</t>
        </is>
      </c>
      <c r="G6" s="8" t="inlineStr">
        <is>
          <t>1. Reactivate Rider 3.
2. Log in as Rider 3 and go Online.</t>
        </is>
      </c>
      <c r="H6" s="8" t="inlineStr"/>
      <c r="I6" s="8" t="inlineStr">
        <is>
          <t>Rider 3 is Active and can go Online.</t>
        </is>
      </c>
      <c r="J6" s="8" t="inlineStr">
        <is>
          <t>A35</t>
        </is>
      </c>
      <c r="K6" s="5" t="n"/>
      <c r="L6" s="5" t="inlineStr">
        <is>
          <t>Not Run</t>
        </is>
      </c>
      <c r="M6" s="5" t="n"/>
    </row>
    <row r="7" ht="42.25" customHeight="1">
      <c r="A7" s="7" t="inlineStr">
        <is>
          <t>LOG-RIDER-006</t>
        </is>
      </c>
      <c r="B7" s="8" t="inlineStr">
        <is>
          <t>Rider Management</t>
        </is>
      </c>
      <c r="C7" s="8" t="inlineStr">
        <is>
          <t>Rider status and workload</t>
        </is>
      </c>
      <c r="D7" s="8" t="inlineStr">
        <is>
          <t>Use Case Testing</t>
        </is>
      </c>
      <c r="E7" s="8" t="inlineStr">
        <is>
          <t>Medium</t>
        </is>
      </c>
      <c r="F7" s="8" t="inlineStr">
        <is>
          <t>Logged in as Logistics 1.</t>
        </is>
      </c>
      <c r="G7" s="8" t="inlineStr">
        <is>
          <t>1. Open the rider list.</t>
        </is>
      </c>
      <c r="H7" s="8" t="inlineStr"/>
      <c r="I7" s="8" t="inlineStr">
        <is>
          <t>Each rider shows Online/Offline, active jobs (0–3) and today's completed deliveries, matching their apps.</t>
        </is>
      </c>
      <c r="J7" s="8" t="inlineStr"/>
      <c r="K7" s="5" t="n"/>
      <c r="L7" s="5" t="inlineStr">
        <is>
          <t>Not Run</t>
        </is>
      </c>
      <c r="M7" s="5" t="n"/>
    </row>
    <row r="8" ht="42.25" customHeight="1">
      <c r="A8" s="7" t="inlineStr">
        <is>
          <t>LOG-RIDER-007</t>
        </is>
      </c>
      <c r="B8" s="8" t="inlineStr">
        <is>
          <t>Rider Management</t>
        </is>
      </c>
      <c r="C8" s="8" t="inlineStr">
        <is>
          <t>Cannot manage another company's rider</t>
        </is>
      </c>
      <c r="D8" s="8" t="inlineStr">
        <is>
          <t>Error Guessing</t>
        </is>
      </c>
      <c r="E8" s="8" t="inlineStr">
        <is>
          <t>High</t>
        </is>
      </c>
      <c r="F8" s="8" t="inlineStr">
        <is>
          <t>Logged in as Logistics 2.</t>
        </is>
      </c>
      <c r="G8" s="8" t="inlineStr">
        <is>
          <t>1. Open Rider 1's record by URL or request.
2. Send a suspend request for Rider 1.</t>
        </is>
      </c>
      <c r="H8" s="8" t="inlineStr"/>
      <c r="I8" s="8" t="inlineStr">
        <is>
          <t>Both are denied. Rider 1 is unchanged.</t>
        </is>
      </c>
      <c r="J8" s="8" t="inlineStr">
        <is>
          <t>A22</t>
        </is>
      </c>
      <c r="K8" s="5" t="n"/>
      <c r="L8" s="5" t="inlineStr">
        <is>
          <t>Not Run</t>
        </is>
      </c>
      <c r="M8" s="5" t="n"/>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LOG-DISP-001</t>
        </is>
      </c>
      <c r="B2" s="8" t="inlineStr">
        <is>
          <t>Dispatch &amp; Assignment</t>
        </is>
      </c>
      <c r="C2" s="8" t="inlineStr">
        <is>
          <t>Auto-assign to the nearest eligible rider</t>
        </is>
      </c>
      <c r="D2" s="8" t="inlineStr">
        <is>
          <t>Use Case Testing</t>
        </is>
      </c>
      <c r="E2" s="8" t="inlineStr">
        <is>
          <t>High</t>
        </is>
      </c>
      <c r="F2" s="8" t="inlineStr">
        <is>
          <t>Logged in as Logistics 1. Rider 1 (near Seller 1) and Rider 2 (farther) are Online with 0 jobs. A parcel is Ready for Pickup.</t>
        </is>
      </c>
      <c r="G2" s="8" t="inlineStr">
        <is>
          <t>1. Run auto-assign.</t>
        </is>
      </c>
      <c r="H2" s="8" t="inlineStr"/>
      <c r="I2" s="8" t="inlineStr">
        <is>
          <t>The offer goes to Rider 1 first.</t>
        </is>
      </c>
      <c r="J2" s="8" t="inlineStr">
        <is>
          <t>A34</t>
        </is>
      </c>
      <c r="K2" s="5" t="n"/>
      <c r="L2" s="5" t="inlineStr">
        <is>
          <t>Not Run</t>
        </is>
      </c>
      <c r="M2" s="5" t="n"/>
    </row>
    <row r="3" ht="29.5" customHeight="1">
      <c r="A3" s="7" t="inlineStr">
        <is>
          <t>LOG-DISP-002</t>
        </is>
      </c>
      <c r="B3" s="8" t="inlineStr">
        <is>
          <t>Dispatch &amp; Assignment</t>
        </is>
      </c>
      <c r="C3" s="8" t="inlineStr">
        <is>
          <t>Manual assign</t>
        </is>
      </c>
      <c r="D3" s="8" t="inlineStr">
        <is>
          <t>Use Case Testing</t>
        </is>
      </c>
      <c r="E3" s="8" t="inlineStr">
        <is>
          <t>High</t>
        </is>
      </c>
      <c r="F3" s="8" t="inlineStr">
        <is>
          <t>Logged in as Logistics 1.</t>
        </is>
      </c>
      <c r="G3" s="8" t="inlineStr">
        <is>
          <t>1. Assign the parcel to Rider 2 manually.</t>
        </is>
      </c>
      <c r="H3" s="8" t="inlineStr"/>
      <c r="I3" s="8" t="inlineStr">
        <is>
          <t>Rider 2 receives it; status Assigned; the buyer timeline shows the assignment.</t>
        </is>
      </c>
      <c r="J3" s="8" t="inlineStr">
        <is>
          <t>A10</t>
        </is>
      </c>
      <c r="K3" s="5" t="n"/>
      <c r="L3" s="5" t="inlineStr">
        <is>
          <t>Not Run</t>
        </is>
      </c>
      <c r="M3" s="5" t="n"/>
    </row>
    <row r="4" ht="42.25" customHeight="1">
      <c r="A4" s="7" t="inlineStr">
        <is>
          <t>LOG-DISP-003</t>
        </is>
      </c>
      <c r="B4" s="8" t="inlineStr">
        <is>
          <t>Dispatch &amp; Assignment</t>
        </is>
      </c>
      <c r="C4" s="8" t="inlineStr">
        <is>
          <t>Offline or suspended rider not assignable</t>
        </is>
      </c>
      <c r="D4" s="8" t="inlineStr">
        <is>
          <t>Equivalence Partitioning</t>
        </is>
      </c>
      <c r="E4" s="8" t="inlineStr">
        <is>
          <t>High</t>
        </is>
      </c>
      <c r="F4" s="8" t="inlineStr">
        <is>
          <t>Logged in as Logistics 1. Rider 1 is Offline; Rider 3 is Suspended.</t>
        </is>
      </c>
      <c r="G4" s="8" t="inlineStr">
        <is>
          <t>1. Open Manual Assign.
2. Send an assign request for Rider 3 directly.</t>
        </is>
      </c>
      <c r="H4" s="8" t="inlineStr"/>
      <c r="I4" s="8" t="inlineStr">
        <is>
          <t>Neither rider is listed. The direct request is rejected.</t>
        </is>
      </c>
      <c r="J4" s="8" t="inlineStr">
        <is>
          <t>A14</t>
        </is>
      </c>
      <c r="K4" s="5" t="n"/>
      <c r="L4" s="5" t="inlineStr">
        <is>
          <t>Not Run</t>
        </is>
      </c>
      <c r="M4" s="5" t="n"/>
    </row>
    <row r="5" ht="29.5" customHeight="1">
      <c r="A5" s="7" t="inlineStr">
        <is>
          <t>LOG-DISP-004</t>
        </is>
      </c>
      <c r="B5" s="8" t="inlineStr">
        <is>
          <t>Dispatch &amp; Assignment</t>
        </is>
      </c>
      <c r="C5" s="8" t="inlineStr">
        <is>
          <t>Rider at the job limit</t>
        </is>
      </c>
      <c r="D5" s="8" t="inlineStr">
        <is>
          <t>Boundary Value Analysis</t>
        </is>
      </c>
      <c r="E5" s="8" t="inlineStr">
        <is>
          <t>Medium</t>
        </is>
      </c>
      <c r="F5" s="8" t="inlineStr">
        <is>
          <t>Logged in as Logistics 1. Rider 2 has 3 active jobs.</t>
        </is>
      </c>
      <c r="G5" s="8" t="inlineStr">
        <is>
          <t>1. Try to assign a 4th.</t>
        </is>
      </c>
      <c r="H5" s="8" t="inlineStr"/>
      <c r="I5" s="8" t="inlineStr">
        <is>
          <t>Blocked with a limit message.</t>
        </is>
      </c>
      <c r="J5" s="8" t="inlineStr">
        <is>
          <t>A14</t>
        </is>
      </c>
      <c r="K5" s="5" t="n"/>
      <c r="L5" s="5" t="inlineStr">
        <is>
          <t>Not Run</t>
        </is>
      </c>
      <c r="M5" s="5" t="n"/>
    </row>
    <row r="6" ht="29.5" customHeight="1">
      <c r="A6" s="7" t="inlineStr">
        <is>
          <t>LOG-DISP-005</t>
        </is>
      </c>
      <c r="B6" s="8" t="inlineStr">
        <is>
          <t>Dispatch &amp; Assignment</t>
        </is>
      </c>
      <c r="C6" s="8" t="inlineStr">
        <is>
          <t>Reassign before pickup</t>
        </is>
      </c>
      <c r="D6" s="8" t="inlineStr">
        <is>
          <t>State Transition</t>
        </is>
      </c>
      <c r="E6" s="8" t="inlineStr">
        <is>
          <t>High</t>
        </is>
      </c>
      <c r="F6" s="8" t="inlineStr">
        <is>
          <t>Logged in as Logistics 1. Parcel Assigned to Rider 1.</t>
        </is>
      </c>
      <c r="G6" s="8" t="inlineStr">
        <is>
          <t>1. Reassign to Rider 2.</t>
        </is>
      </c>
      <c r="H6" s="8" t="inlineStr"/>
      <c r="I6" s="8" t="inlineStr">
        <is>
          <t>Rider 1 loses the job immediately; Rider 2 has it. The timeline shows both events.</t>
        </is>
      </c>
      <c r="J6" s="8" t="inlineStr">
        <is>
          <t>A34</t>
        </is>
      </c>
      <c r="K6" s="5" t="n"/>
      <c r="L6" s="5" t="inlineStr">
        <is>
          <t>Not Run</t>
        </is>
      </c>
      <c r="M6" s="5" t="n"/>
    </row>
    <row r="7" ht="29.5" customHeight="1">
      <c r="A7" s="7" t="inlineStr">
        <is>
          <t>LOG-DISP-006</t>
        </is>
      </c>
      <c r="B7" s="8" t="inlineStr">
        <is>
          <t>Dispatch &amp; Assignment</t>
        </is>
      </c>
      <c r="C7" s="8" t="inlineStr">
        <is>
          <t>No reassign after pickup</t>
        </is>
      </c>
      <c r="D7" s="8" t="inlineStr">
        <is>
          <t>State Transition</t>
        </is>
      </c>
      <c r="E7" s="8" t="inlineStr">
        <is>
          <t>High</t>
        </is>
      </c>
      <c r="F7" s="8" t="inlineStr">
        <is>
          <t>Logged in as Logistics 1. Parcel Picked Up by Rider 1.</t>
        </is>
      </c>
      <c r="G7" s="8" t="inlineStr">
        <is>
          <t>1. Look for Reassign.
2. Send the request directly.</t>
        </is>
      </c>
      <c r="H7" s="8" t="inlineStr"/>
      <c r="I7" s="8" t="inlineStr">
        <is>
          <t>Not available; the request is rejected.</t>
        </is>
      </c>
      <c r="J7" s="8" t="inlineStr">
        <is>
          <t>A34</t>
        </is>
      </c>
      <c r="K7" s="5" t="n"/>
      <c r="L7" s="5" t="inlineStr">
        <is>
          <t>Not Run</t>
        </is>
      </c>
      <c r="M7" s="5" t="n"/>
    </row>
    <row r="8" ht="42.25" customHeight="1">
      <c r="A8" s="7" t="inlineStr">
        <is>
          <t>LOG-DISP-007</t>
        </is>
      </c>
      <c r="B8" s="8" t="inlineStr">
        <is>
          <t>Dispatch &amp; Assignment</t>
        </is>
      </c>
      <c r="C8" s="8" t="inlineStr">
        <is>
          <t>Bulk assignment over the limit</t>
        </is>
      </c>
      <c r="D8" s="8" t="inlineStr">
        <is>
          <t>Boundary Value Analysis</t>
        </is>
      </c>
      <c r="E8" s="8" t="inlineStr">
        <is>
          <t>Medium</t>
        </is>
      </c>
      <c r="F8" s="8" t="inlineStr">
        <is>
          <t>Logged in as Logistics 1. 5 parcels are Ready for Pickup; Rider 2 has 0 jobs.</t>
        </is>
      </c>
      <c r="G8" s="8" t="inlineStr">
        <is>
          <t>1. Select all 5 and assign to Rider 2.</t>
        </is>
      </c>
      <c r="H8" s="8" t="inlineStr"/>
      <c r="I8" s="8" t="inlineStr">
        <is>
          <t>3 are assigned and 2 are reported as skipped because of the 3-job limit. The 2 stay Unassigned.</t>
        </is>
      </c>
      <c r="J8" s="8" t="inlineStr">
        <is>
          <t>A14</t>
        </is>
      </c>
      <c r="K8" s="5" t="n"/>
      <c r="L8" s="5" t="inlineStr">
        <is>
          <t>Not Run</t>
        </is>
      </c>
      <c r="M8" s="5" t="n"/>
    </row>
    <row r="9" ht="29.5" customHeight="1">
      <c r="A9" s="7" t="inlineStr">
        <is>
          <t>LOG-DISP-008</t>
        </is>
      </c>
      <c r="B9" s="8" t="inlineStr">
        <is>
          <t>Dispatch &amp; Assignment</t>
        </is>
      </c>
      <c r="C9" s="8" t="inlineStr">
        <is>
          <t>Assign a parcel that is not ready</t>
        </is>
      </c>
      <c r="D9" s="8" t="inlineStr">
        <is>
          <t>Error Guessing</t>
        </is>
      </c>
      <c r="E9" s="8" t="inlineStr">
        <is>
          <t>Medium</t>
        </is>
      </c>
      <c r="F9" s="8" t="inlineStr">
        <is>
          <t>Logged in as Logistics 1. An order is only Packed.</t>
        </is>
      </c>
      <c r="G9" s="8" t="inlineStr">
        <is>
          <t>1. Look for it in the dispatch queue.
2. Send an assign request directly.</t>
        </is>
      </c>
      <c r="H9" s="8" t="inlineStr"/>
      <c r="I9" s="8" t="inlineStr">
        <is>
          <t>It is not in the queue and the request is rejected.</t>
        </is>
      </c>
      <c r="J9" s="8" t="inlineStr">
        <is>
          <t>A10</t>
        </is>
      </c>
      <c r="K9" s="5" t="n"/>
      <c r="L9" s="5" t="inlineStr">
        <is>
          <t>Not Run</t>
        </is>
      </c>
      <c r="M9" s="5" t="n"/>
    </row>
  </sheetData>
  <autoFilter ref="A1:M9"/>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LOG-HUB-001</t>
        </is>
      </c>
      <c r="B2" s="8" t="inlineStr">
        <is>
          <t>Hub &amp; Warehouse Operations</t>
        </is>
      </c>
      <c r="C2" s="8" t="inlineStr">
        <is>
          <t>Inbound receiving by scan</t>
        </is>
      </c>
      <c r="D2" s="8" t="inlineStr">
        <is>
          <t>State Transition</t>
        </is>
      </c>
      <c r="E2" s="8" t="inlineStr">
        <is>
          <t>High</t>
        </is>
      </c>
      <c r="F2" s="8" t="inlineStr">
        <is>
          <t>Logged in as Logistics 1. Rider 1 brings a Picked Up parcel to the hub.</t>
        </is>
      </c>
      <c r="G2" s="8" t="inlineStr">
        <is>
          <t>1. Scan it at Inbound.
2. Check Buyer 1's timeline.</t>
        </is>
      </c>
      <c r="H2" s="8" t="inlineStr"/>
      <c r="I2" s="8" t="inlineStr">
        <is>
          <t>Status At Hub with the scan time, in Logistics and Buyer views.</t>
        </is>
      </c>
      <c r="J2" s="8" t="inlineStr">
        <is>
          <t>A10</t>
        </is>
      </c>
      <c r="K2" s="5" t="n"/>
      <c r="L2" s="5" t="inlineStr">
        <is>
          <t>Not Run</t>
        </is>
      </c>
      <c r="M2" s="5" t="n"/>
    </row>
    <row r="3" ht="29.5" customHeight="1">
      <c r="A3" s="7" t="inlineStr">
        <is>
          <t>LOG-HUB-002</t>
        </is>
      </c>
      <c r="B3" s="8" t="inlineStr">
        <is>
          <t>Hub &amp; Warehouse Operations</t>
        </is>
      </c>
      <c r="C3" s="8" t="inlineStr">
        <is>
          <t>Sort by zone</t>
        </is>
      </c>
      <c r="D3" s="8" t="inlineStr">
        <is>
          <t>Use Case Testing</t>
        </is>
      </c>
      <c r="E3" s="8" t="inlineStr">
        <is>
          <t>Medium</t>
        </is>
      </c>
      <c r="F3" s="8" t="inlineStr">
        <is>
          <t>Logged in as Logistics 1.</t>
        </is>
      </c>
      <c r="G3" s="8" t="inlineStr">
        <is>
          <t>1. Sort the parcel.</t>
        </is>
      </c>
      <c r="H3" s="8" t="inlineStr">
        <is>
          <t>ADDR-1 → NCR zone</t>
        </is>
      </c>
      <c r="I3" s="8" t="inlineStr">
        <is>
          <t>The parcel is placed in the NCR zone list only.</t>
        </is>
      </c>
      <c r="J3" s="8" t="inlineStr"/>
      <c r="K3" s="5" t="n"/>
      <c r="L3" s="5" t="inlineStr">
        <is>
          <t>Not Run</t>
        </is>
      </c>
      <c r="M3" s="5" t="n"/>
    </row>
    <row r="4" ht="29.5" customHeight="1">
      <c r="A4" s="7" t="inlineStr">
        <is>
          <t>LOG-HUB-003</t>
        </is>
      </c>
      <c r="B4" s="8" t="inlineStr">
        <is>
          <t>Hub &amp; Warehouse Operations</t>
        </is>
      </c>
      <c r="C4" s="8" t="inlineStr">
        <is>
          <t>Outbound dispatch</t>
        </is>
      </c>
      <c r="D4" s="8" t="inlineStr">
        <is>
          <t>State Transition</t>
        </is>
      </c>
      <c r="E4" s="8" t="inlineStr">
        <is>
          <t>High</t>
        </is>
      </c>
      <c r="F4" s="8" t="inlineStr">
        <is>
          <t>Logged in as Logistics 1.</t>
        </is>
      </c>
      <c r="G4" s="8" t="inlineStr">
        <is>
          <t>1. Scan at Outbound and assign Rider 1.
2. Rider 1 marks Out for Delivery.</t>
        </is>
      </c>
      <c r="H4" s="8" t="inlineStr"/>
      <c r="I4" s="8" t="inlineStr">
        <is>
          <t>Status Out for Delivery; the delivery OTP appears in Buyer 1's order.</t>
        </is>
      </c>
      <c r="J4" s="8" t="inlineStr">
        <is>
          <t>A10, A32</t>
        </is>
      </c>
      <c r="K4" s="5" t="n"/>
      <c r="L4" s="5" t="inlineStr">
        <is>
          <t>Not Run</t>
        </is>
      </c>
      <c r="M4" s="5" t="n"/>
    </row>
    <row r="5" ht="29.5" customHeight="1">
      <c r="A5" s="7" t="inlineStr">
        <is>
          <t>LOG-HUB-004</t>
        </is>
      </c>
      <c r="B5" s="8" t="inlineStr">
        <is>
          <t>Hub &amp; Warehouse Operations</t>
        </is>
      </c>
      <c r="C5" s="8" t="inlineStr">
        <is>
          <t>Duplicate scan</t>
        </is>
      </c>
      <c r="D5" s="8" t="inlineStr">
        <is>
          <t>Error Guessing</t>
        </is>
      </c>
      <c r="E5" s="8" t="inlineStr">
        <is>
          <t>Medium</t>
        </is>
      </c>
      <c r="F5" s="8" t="inlineStr">
        <is>
          <t>Logged in as Logistics 1.</t>
        </is>
      </c>
      <c r="G5" s="8" t="inlineStr">
        <is>
          <t>1. Scan the same parcel twice at Inbound.</t>
        </is>
      </c>
      <c r="H5" s="8" t="inlineStr"/>
      <c r="I5" s="8" t="inlineStr">
        <is>
          <t>The second scan warns 'already received'. Only one At Hub event exists.</t>
        </is>
      </c>
      <c r="J5" s="8" t="inlineStr">
        <is>
          <t>A37</t>
        </is>
      </c>
      <c r="K5" s="5" t="n"/>
      <c r="L5" s="5" t="inlineStr">
        <is>
          <t>Not Run</t>
        </is>
      </c>
      <c r="M5" s="5" t="n"/>
    </row>
    <row r="6" ht="29.5" customHeight="1">
      <c r="A6" s="7" t="inlineStr">
        <is>
          <t>LOG-HUB-005</t>
        </is>
      </c>
      <c r="B6" s="8" t="inlineStr">
        <is>
          <t>Hub &amp; Warehouse Operations</t>
        </is>
      </c>
      <c r="C6" s="8" t="inlineStr">
        <is>
          <t>Parcel not in the system</t>
        </is>
      </c>
      <c r="D6" s="8" t="inlineStr">
        <is>
          <t>Equivalence Partitioning</t>
        </is>
      </c>
      <c r="E6" s="8" t="inlineStr">
        <is>
          <t>High</t>
        </is>
      </c>
      <c r="F6" s="8" t="inlineStr">
        <is>
          <t>Logged in as Logistics 1.</t>
        </is>
      </c>
      <c r="G6" s="8" t="inlineStr">
        <is>
          <t>1. Scan an unknown tracking number.</t>
        </is>
      </c>
      <c r="H6" s="8" t="inlineStr">
        <is>
          <t>TRK-0000000</t>
        </is>
      </c>
      <c r="I6" s="8" t="inlineStr">
        <is>
          <t>Rejected with 'not found'. No record is created.</t>
        </is>
      </c>
      <c r="J6" s="8" t="inlineStr"/>
      <c r="K6" s="5" t="n"/>
      <c r="L6" s="5" t="inlineStr">
        <is>
          <t>Not Run</t>
        </is>
      </c>
      <c r="M6" s="5" t="n"/>
    </row>
    <row r="7" ht="29.5" customHeight="1">
      <c r="A7" s="7" t="inlineStr">
        <is>
          <t>LOG-HUB-006</t>
        </is>
      </c>
      <c r="B7" s="8" t="inlineStr">
        <is>
          <t>Hub &amp; Warehouse Operations</t>
        </is>
      </c>
      <c r="C7" s="8" t="inlineStr">
        <is>
          <t>Out-of-order scan</t>
        </is>
      </c>
      <c r="D7" s="8" t="inlineStr">
        <is>
          <t>State Transition</t>
        </is>
      </c>
      <c r="E7" s="8" t="inlineStr">
        <is>
          <t>Medium</t>
        </is>
      </c>
      <c r="F7" s="8" t="inlineStr">
        <is>
          <t>Logged in as Logistics 1.</t>
        </is>
      </c>
      <c r="G7" s="8" t="inlineStr">
        <is>
          <t>1. Scan a parcel at Outbound before Inbound.</t>
        </is>
      </c>
      <c r="H7" s="8" t="inlineStr"/>
      <c r="I7" s="8" t="inlineStr">
        <is>
          <t>Blocked; status unchanged.</t>
        </is>
      </c>
      <c r="J7" s="8" t="inlineStr">
        <is>
          <t>A10</t>
        </is>
      </c>
      <c r="K7" s="5" t="n"/>
      <c r="L7" s="5" t="inlineStr">
        <is>
          <t>Not Run</t>
        </is>
      </c>
      <c r="M7" s="5" t="n"/>
    </row>
    <row r="8" ht="29.5" customHeight="1">
      <c r="A8" s="7" t="inlineStr">
        <is>
          <t>LOG-HUB-007</t>
        </is>
      </c>
      <c r="B8" s="8" t="inlineStr">
        <is>
          <t>Hub &amp; Warehouse Operations</t>
        </is>
      </c>
      <c r="C8" s="8" t="inlineStr">
        <is>
          <t>Another company's parcel</t>
        </is>
      </c>
      <c r="D8" s="8" t="inlineStr">
        <is>
          <t>Error Guessing</t>
        </is>
      </c>
      <c r="E8" s="8" t="inlineStr">
        <is>
          <t>Medium</t>
        </is>
      </c>
      <c r="F8" s="8" t="inlineStr">
        <is>
          <t>Logged in as Logistics 1.</t>
        </is>
      </c>
      <c r="G8" s="8" t="inlineStr">
        <is>
          <t>1. Scan a Logistics 2 tracking number.</t>
        </is>
      </c>
      <c r="H8" s="8" t="inlineStr"/>
      <c r="I8" s="8" t="inlineStr">
        <is>
          <t>Rejected; Logistics 2's shipment unchanged.</t>
        </is>
      </c>
      <c r="J8" s="8" t="inlineStr">
        <is>
          <t>A22</t>
        </is>
      </c>
      <c r="K8" s="5" t="n"/>
      <c r="L8" s="5" t="inlineStr">
        <is>
          <t>Not Run</t>
        </is>
      </c>
      <c r="M8" s="5" t="n"/>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LOG-TRK-001</t>
        </is>
      </c>
      <c r="B2" s="8" t="inlineStr">
        <is>
          <t>Shipment Tracking &amp; Exceptions</t>
        </is>
      </c>
      <c r="C2" s="8" t="inlineStr">
        <is>
          <t>Search by tracking number, order ID or buyer</t>
        </is>
      </c>
      <c r="D2" s="8" t="inlineStr">
        <is>
          <t>Equivalence Partitioning</t>
        </is>
      </c>
      <c r="E2" s="8" t="inlineStr">
        <is>
          <t>High</t>
        </is>
      </c>
      <c r="F2" s="8" t="inlineStr">
        <is>
          <t>Logged in as Logistics 1.</t>
        </is>
      </c>
      <c r="G2" s="8" t="inlineStr">
        <is>
          <t>1. Search by each value.
2. Search an unknown value and an injection string.</t>
        </is>
      </c>
      <c r="H2" s="8" t="inlineStr">
        <is>
          <t>Tracking number; order ID; Juan Miguel Dela Cruz; ' OR '1'='1</t>
        </is>
      </c>
      <c r="I2" s="8" t="inlineStr">
        <is>
          <t>Each valid search returns exactly the right shipment. Unknown values return no results with no error.</t>
        </is>
      </c>
      <c r="J2" s="8" t="inlineStr"/>
      <c r="K2" s="5" t="n"/>
      <c r="L2" s="5" t="inlineStr">
        <is>
          <t>Not Run</t>
        </is>
      </c>
      <c r="M2" s="5" t="n"/>
    </row>
    <row r="3" ht="42.25" customHeight="1">
      <c r="A3" s="7" t="inlineStr">
        <is>
          <t>LOG-TRK-002</t>
        </is>
      </c>
      <c r="B3" s="8" t="inlineStr">
        <is>
          <t>Shipment Tracking &amp; Exceptions</t>
        </is>
      </c>
      <c r="C3" s="8" t="inlineStr">
        <is>
          <t>Manual override needs a reason</t>
        </is>
      </c>
      <c r="D3" s="8" t="inlineStr">
        <is>
          <t>Equivalence Partitioning</t>
        </is>
      </c>
      <c r="E3" s="8" t="inlineStr">
        <is>
          <t>High</t>
        </is>
      </c>
      <c r="F3" s="8" t="inlineStr">
        <is>
          <t>Logged in as Logistics 1. A parcel is Out for Delivery.</t>
        </is>
      </c>
      <c r="G3" s="8" t="inlineStr">
        <is>
          <t>1. Override to Delivered with an empty reason.
2. Override with the test reason.</t>
        </is>
      </c>
      <c r="H3" s="8" t="inlineStr">
        <is>
          <t>Reason: Rider app offline, delivery confirmed by phone.</t>
        </is>
      </c>
      <c r="I3" s="8" t="inlineStr">
        <is>
          <t>The empty reason is blocked. With the reason, status becomes Delivered.</t>
        </is>
      </c>
      <c r="J3" s="8" t="inlineStr">
        <is>
          <t>A10, A25</t>
        </is>
      </c>
      <c r="K3" s="5" t="n"/>
      <c r="L3" s="5" t="inlineStr">
        <is>
          <t>Not Run</t>
        </is>
      </c>
      <c r="M3" s="5" t="n"/>
    </row>
    <row r="4" ht="42.25" customHeight="1">
      <c r="A4" s="7" t="inlineStr">
        <is>
          <t>LOG-TRK-003</t>
        </is>
      </c>
      <c r="B4" s="8" t="inlineStr">
        <is>
          <t>Shipment Tracking &amp; Exceptions</t>
        </is>
      </c>
      <c r="C4" s="8" t="inlineStr">
        <is>
          <t>Override leaves an audit log</t>
        </is>
      </c>
      <c r="D4" s="8" t="inlineStr">
        <is>
          <t>Use Case Testing</t>
        </is>
      </c>
      <c r="E4" s="8" t="inlineStr">
        <is>
          <t>High</t>
        </is>
      </c>
      <c r="F4" s="8" t="inlineStr">
        <is>
          <t>The previous case was run.</t>
        </is>
      </c>
      <c r="G4" s="8" t="inlineStr">
        <is>
          <t>1. Open the audit log.
2. Look for Edit or Delete on the entry.</t>
        </is>
      </c>
      <c r="H4" s="8" t="inlineStr"/>
      <c r="I4" s="8" t="inlineStr">
        <is>
          <t>The entry shows user, date and time, Out for Delivery → Delivered and the reason. There is no Edit or Delete.</t>
        </is>
      </c>
      <c r="J4" s="8" t="inlineStr">
        <is>
          <t>A35</t>
        </is>
      </c>
      <c r="K4" s="5" t="n"/>
      <c r="L4" s="5" t="inlineStr">
        <is>
          <t>Not Run</t>
        </is>
      </c>
      <c r="M4" s="5" t="n"/>
    </row>
    <row r="5" ht="29.5" customHeight="1">
      <c r="A5" s="7" t="inlineStr">
        <is>
          <t>LOG-TRK-004</t>
        </is>
      </c>
      <c r="B5" s="8" t="inlineStr">
        <is>
          <t>Shipment Tracking &amp; Exceptions</t>
        </is>
      </c>
      <c r="C5" s="8" t="inlineStr">
        <is>
          <t>Mark a parcel Lost</t>
        </is>
      </c>
      <c r="D5" s="8" t="inlineStr">
        <is>
          <t>State Transition</t>
        </is>
      </c>
      <c r="E5" s="8" t="inlineStr">
        <is>
          <t>Medium</t>
        </is>
      </c>
      <c r="F5" s="8" t="inlineStr">
        <is>
          <t>Logged in as Logistics 1.</t>
        </is>
      </c>
      <c r="G5" s="8" t="inlineStr">
        <is>
          <t>1. Mark a parcel Lost with a reason.</t>
        </is>
      </c>
      <c r="H5" s="8" t="inlineStr"/>
      <c r="I5" s="8" t="inlineStr">
        <is>
          <t>Status Lost; Buyer 1 and Seller 1 are notified; the refund or claim process starts.</t>
        </is>
      </c>
      <c r="J5" s="8" t="inlineStr">
        <is>
          <t>A23</t>
        </is>
      </c>
      <c r="K5" s="5" t="n"/>
      <c r="L5" s="5" t="inlineStr">
        <is>
          <t>Not Run</t>
        </is>
      </c>
      <c r="M5" s="5" t="n"/>
    </row>
    <row r="6" ht="29.5" customHeight="1">
      <c r="A6" s="7" t="inlineStr">
        <is>
          <t>LOG-TRK-005</t>
        </is>
      </c>
      <c r="B6" s="8" t="inlineStr">
        <is>
          <t>Shipment Tracking &amp; Exceptions</t>
        </is>
      </c>
      <c r="C6" s="8" t="inlineStr">
        <is>
          <t>Mark a parcel Damaged with a photo</t>
        </is>
      </c>
      <c r="D6" s="8" t="inlineStr">
        <is>
          <t>State Transition</t>
        </is>
      </c>
      <c r="E6" s="8" t="inlineStr">
        <is>
          <t>Medium</t>
        </is>
      </c>
      <c r="F6" s="8" t="inlineStr">
        <is>
          <t>Logged in as Logistics 1.</t>
        </is>
      </c>
      <c r="G6" s="8" t="inlineStr">
        <is>
          <t>1. Mark Damaged without a photo, then with one.</t>
        </is>
      </c>
      <c r="H6" s="8" t="inlineStr">
        <is>
          <t>pod_photo.jpg</t>
        </is>
      </c>
      <c r="I6" s="8" t="inlineStr">
        <is>
          <t>Blocked without a photo; with it, status and photo are saved and both parties notified.</t>
        </is>
      </c>
      <c r="J6" s="8" t="inlineStr">
        <is>
          <t>A16</t>
        </is>
      </c>
      <c r="K6" s="5" t="n"/>
      <c r="L6" s="5" t="inlineStr">
        <is>
          <t>Not Run</t>
        </is>
      </c>
      <c r="M6" s="5" t="n"/>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LOG-RTS-001</t>
        </is>
      </c>
      <c r="B2" s="8" t="inlineStr">
        <is>
          <t>Returns (Return-to-Sender)</t>
        </is>
      </c>
      <c r="C2" s="8" t="inlineStr">
        <is>
          <t>RTS queue after 3 failed attempts</t>
        </is>
      </c>
      <c r="D2" s="8" t="inlineStr">
        <is>
          <t>State Transition</t>
        </is>
      </c>
      <c r="E2" s="8" t="inlineStr">
        <is>
          <t>High</t>
        </is>
      </c>
      <c r="F2" s="8" t="inlineStr">
        <is>
          <t>A parcel failed 3 times.</t>
        </is>
      </c>
      <c r="G2" s="8" t="inlineStr">
        <is>
          <t>1. Open the RTS queue.</t>
        </is>
      </c>
      <c r="H2" s="8" t="inlineStr"/>
      <c r="I2" s="8" t="inlineStr">
        <is>
          <t>The parcel is listed with status Return to Sender and all 3 failure reasons.</t>
        </is>
      </c>
      <c r="J2" s="8" t="inlineStr">
        <is>
          <t>A13</t>
        </is>
      </c>
      <c r="K2" s="5" t="n"/>
      <c r="L2" s="5" t="inlineStr">
        <is>
          <t>Not Run</t>
        </is>
      </c>
      <c r="M2" s="5" t="n"/>
    </row>
    <row r="3" ht="42.25" customHeight="1">
      <c r="A3" s="7" t="inlineStr">
        <is>
          <t>LOG-RTS-002</t>
        </is>
      </c>
      <c r="B3" s="8" t="inlineStr">
        <is>
          <t>Returns (Return-to-Sender)</t>
        </is>
      </c>
      <c r="C3" s="8" t="inlineStr">
        <is>
          <t>Deliver back to the seller</t>
        </is>
      </c>
      <c r="D3" s="8" t="inlineStr">
        <is>
          <t>State Transition</t>
        </is>
      </c>
      <c r="E3" s="8" t="inlineStr">
        <is>
          <t>High</t>
        </is>
      </c>
      <c r="F3" s="8" t="inlineStr">
        <is>
          <t>Logged in as Logistics 1.</t>
        </is>
      </c>
      <c r="G3" s="8" t="inlineStr">
        <is>
          <t>1. Assign the RTS parcel to Rider 1.
2. Rider 1 delivers it to Seller 1.
3. Check all three views.</t>
        </is>
      </c>
      <c r="H3" s="8" t="inlineStr"/>
      <c r="I3" s="8" t="inlineStr">
        <is>
          <t>Status Returned to Sender. Buyer: order Cancelled (failed delivery). Seller: Returned, awaiting confirmation.</t>
        </is>
      </c>
      <c r="J3" s="8" t="inlineStr">
        <is>
          <t>A10</t>
        </is>
      </c>
      <c r="K3" s="5" t="n"/>
      <c r="L3" s="5" t="inlineStr">
        <is>
          <t>Not Run</t>
        </is>
      </c>
      <c r="M3" s="5" t="n"/>
    </row>
    <row r="4" ht="42.25" customHeight="1">
      <c r="A4" s="7" t="inlineStr">
        <is>
          <t>LOG-RTS-003</t>
        </is>
      </c>
      <c r="B4" s="8" t="inlineStr">
        <is>
          <t>Returns (Return-to-Sender)</t>
        </is>
      </c>
      <c r="C4" s="8" t="inlineStr">
        <is>
          <t>Stock restored only when the seller confirms</t>
        </is>
      </c>
      <c r="D4" s="8" t="inlineStr">
        <is>
          <t>State Transition</t>
        </is>
      </c>
      <c r="E4" s="8" t="inlineStr">
        <is>
          <t>High</t>
        </is>
      </c>
      <c r="F4" s="8" t="inlineStr">
        <is>
          <t>The RTS parcel (1 × P-02) is Returned to Sender; stock is 19.</t>
        </is>
      </c>
      <c r="G4" s="8" t="inlineStr">
        <is>
          <t>1. Check stock.
2. Seller 1 confirms receipt.
3. Check stock again.</t>
        </is>
      </c>
      <c r="H4" s="8" t="inlineStr"/>
      <c r="I4" s="8" t="inlineStr">
        <is>
          <t>Stock stays 19 until confirmation, then becomes 20.</t>
        </is>
      </c>
      <c r="J4" s="8" t="inlineStr">
        <is>
          <t>A3</t>
        </is>
      </c>
      <c r="K4" s="5" t="n"/>
      <c r="L4" s="5" t="inlineStr">
        <is>
          <t>Not Run</t>
        </is>
      </c>
      <c r="M4" s="5" t="n"/>
    </row>
    <row r="5" ht="42.25" customHeight="1">
      <c r="A5" s="7" t="inlineStr">
        <is>
          <t>LOG-RTS-004</t>
        </is>
      </c>
      <c r="B5" s="8" t="inlineStr">
        <is>
          <t>Returns (Return-to-Sender)</t>
        </is>
      </c>
      <c r="C5" s="8" t="inlineStr">
        <is>
          <t>Prepaid RTS refund and no earnings</t>
        </is>
      </c>
      <c r="D5" s="8" t="inlineStr">
        <is>
          <t>State Transition</t>
        </is>
      </c>
      <c r="E5" s="8" t="inlineStr">
        <is>
          <t>Medium</t>
        </is>
      </c>
      <c r="F5" s="8" t="inlineStr">
        <is>
          <t>The RTS order was prepaid.</t>
        </is>
      </c>
      <c r="G5" s="8" t="inlineStr">
        <is>
          <t>1. Complete RTS.
2. Check Buyer 1's refund and Seller 1's earnings.</t>
        </is>
      </c>
      <c r="H5" s="8" t="inlineStr"/>
      <c r="I5" s="8" t="inlineStr">
        <is>
          <t>Buyer 1's refund for the full amount is started. Seller 1 has no earnings for the order.</t>
        </is>
      </c>
      <c r="J5" s="8" t="inlineStr">
        <is>
          <t>A15</t>
        </is>
      </c>
      <c r="K5" s="5" t="n"/>
      <c r="L5" s="5" t="inlineStr">
        <is>
          <t>Not Run</t>
        </is>
      </c>
      <c r="M5" s="5" t="n"/>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LOG-RATE-001</t>
        </is>
      </c>
      <c r="B2" s="8" t="inlineStr">
        <is>
          <t>Delivery Zones &amp; Shipping Rates</t>
        </is>
      </c>
      <c r="C2" s="8" t="inlineStr">
        <is>
          <t>Rate change shows at checkout</t>
        </is>
      </c>
      <c r="D2" s="8" t="inlineStr">
        <is>
          <t>State Transition</t>
        </is>
      </c>
      <c r="E2" s="8" t="inlineStr">
        <is>
          <t>High</t>
        </is>
      </c>
      <c r="F2" s="8" t="inlineStr">
        <is>
          <t>Logged in as Logistics 1. Buyer 1 has an order placed at the old rate.</t>
        </is>
      </c>
      <c r="G2" s="8" t="inlineStr">
        <is>
          <t>1. Change Within NCR first kg from ₱50 to ₱55.
2. As Buyer 1, start a new checkout of P-02 to ADDR-1.
3. Open the earlier order.</t>
        </is>
      </c>
      <c r="H2" s="8" t="inlineStr"/>
      <c r="I2" s="8" t="inlineStr">
        <is>
          <t>The new checkout shows ₱55.00. The earlier order still shows ₱50.00. The change is in the audit log.</t>
        </is>
      </c>
      <c r="J2" s="8" t="inlineStr">
        <is>
          <t>A20, A35</t>
        </is>
      </c>
      <c r="K2" s="5" t="n"/>
      <c r="L2" s="5" t="inlineStr">
        <is>
          <t>Not Run</t>
        </is>
      </c>
      <c r="M2" s="5" t="n"/>
    </row>
    <row r="3" ht="55" customHeight="1">
      <c r="A3" s="7" t="inlineStr">
        <is>
          <t>LOG-RATE-002</t>
        </is>
      </c>
      <c r="B3" s="8" t="inlineStr">
        <is>
          <t>Delivery Zones &amp; Shipping Rates</t>
        </is>
      </c>
      <c r="C3" s="8" t="inlineStr">
        <is>
          <t>Invalid rate values</t>
        </is>
      </c>
      <c r="D3" s="8" t="inlineStr">
        <is>
          <t>Boundary Value Analysis</t>
        </is>
      </c>
      <c r="E3" s="8" t="inlineStr">
        <is>
          <t>Medium</t>
        </is>
      </c>
      <c r="F3" s="8" t="inlineStr">
        <is>
          <t>Logged in as Logistics 1.</t>
        </is>
      </c>
      <c r="G3" s="8" t="inlineStr">
        <is>
          <t>1. Enter each value and save.</t>
        </is>
      </c>
      <c r="H3" s="8" t="inlineStr">
        <is>
          <t>-1 (reject)
0 (reject)
0.01 (accept)
abc (reject)</t>
        </is>
      </c>
      <c r="I3" s="8" t="inlineStr">
        <is>
          <t>Only 0.01 saves.</t>
        </is>
      </c>
      <c r="J3" s="8" t="inlineStr"/>
      <c r="K3" s="5" t="n"/>
      <c r="L3" s="5" t="inlineStr">
        <is>
          <t>Not Run</t>
        </is>
      </c>
      <c r="M3" s="5" t="n"/>
    </row>
    <row r="4" ht="29.5" customHeight="1">
      <c r="A4" s="7" t="inlineStr">
        <is>
          <t>LOG-RATE-003</t>
        </is>
      </c>
      <c r="B4" s="8" t="inlineStr">
        <is>
          <t>Delivery Zones &amp; Shipping Rates</t>
        </is>
      </c>
      <c r="C4" s="8" t="inlineStr">
        <is>
          <t>Unserviceable area blocked</t>
        </is>
      </c>
      <c r="D4" s="8" t="inlineStr">
        <is>
          <t>Equivalence Partitioning</t>
        </is>
      </c>
      <c r="E4" s="8" t="inlineStr">
        <is>
          <t>High</t>
        </is>
      </c>
      <c r="F4" s="8" t="inlineStr">
        <is>
          <t>ADDR-4 is outside every zone.</t>
        </is>
      </c>
      <c r="G4" s="8" t="inlineStr">
        <is>
          <t>1. As Buyer 1, check out to ADDR-4.</t>
        </is>
      </c>
      <c r="H4" s="8" t="inlineStr"/>
      <c r="I4" s="8" t="inlineStr">
        <is>
          <t>Place Order is blocked with a not-serviceable message.</t>
        </is>
      </c>
      <c r="J4" s="8" t="inlineStr"/>
      <c r="K4" s="5" t="n"/>
      <c r="L4" s="5" t="inlineStr">
        <is>
          <t>Not Run</t>
        </is>
      </c>
      <c r="M4" s="5" t="n"/>
    </row>
    <row r="5" ht="42.25" customHeight="1">
      <c r="A5" s="7" t="inlineStr">
        <is>
          <t>LOG-RATE-004</t>
        </is>
      </c>
      <c r="B5" s="8" t="inlineStr">
        <is>
          <t>Delivery Zones &amp; Shipping Rates</t>
        </is>
      </c>
      <c r="C5" s="8" t="inlineStr">
        <is>
          <t>Add a zone</t>
        </is>
      </c>
      <c r="D5" s="8" t="inlineStr">
        <is>
          <t>State Transition</t>
        </is>
      </c>
      <c r="E5" s="8" t="inlineStr">
        <is>
          <t>Medium</t>
        </is>
      </c>
      <c r="F5" s="8" t="inlineStr">
        <is>
          <t>Logged in as Logistics 1.</t>
        </is>
      </c>
      <c r="G5" s="8" t="inlineStr">
        <is>
          <t>1. Add a zone covering Batanes with a rate.
2. As Buyer 1, check out to ADDR-4 again.</t>
        </is>
      </c>
      <c r="H5" s="8" t="inlineStr"/>
      <c r="I5" s="8" t="inlineStr">
        <is>
          <t>Checkout now works and uses the new rate.</t>
        </is>
      </c>
      <c r="J5" s="8" t="inlineStr">
        <is>
          <t>A20</t>
        </is>
      </c>
      <c r="K5" s="5" t="n"/>
      <c r="L5" s="5" t="inlineStr">
        <is>
          <t>Not Run</t>
        </is>
      </c>
      <c r="M5" s="5" t="n"/>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29.5" customHeight="1">
      <c r="A2" s="7" t="inlineStr">
        <is>
          <t>LOG-COD-001</t>
        </is>
      </c>
      <c r="B2" s="8" t="inlineStr">
        <is>
          <t>COD Reconciliation &amp; Reports</t>
        </is>
      </c>
      <c r="C2" s="8" t="inlineStr">
        <is>
          <t>Remittance matches COD collected</t>
        </is>
      </c>
      <c r="D2" s="8" t="inlineStr">
        <is>
          <t>Use Case Testing</t>
        </is>
      </c>
      <c r="E2" s="8" t="inlineStr">
        <is>
          <t>High</t>
        </is>
      </c>
      <c r="F2" s="8" t="inlineStr">
        <is>
          <t>Rider 1 collected ₱1,800.00 and remitted ₱1,800.00.</t>
        </is>
      </c>
      <c r="G2" s="8" t="inlineStr">
        <is>
          <t>1. Open reconciliation for today.</t>
        </is>
      </c>
      <c r="H2" s="8" t="inlineStr"/>
      <c r="I2" s="8" t="inlineStr">
        <is>
          <t>Collected ₱1,800.00, remitted ₱1,800.00, difference ₱0.00, with both orders listed.</t>
        </is>
      </c>
      <c r="J2" s="8" t="inlineStr">
        <is>
          <t>A24</t>
        </is>
      </c>
      <c r="K2" s="5" t="n"/>
      <c r="L2" s="5" t="inlineStr">
        <is>
          <t>Not Run</t>
        </is>
      </c>
      <c r="M2" s="5" t="n"/>
    </row>
    <row r="3" ht="29.5" customHeight="1">
      <c r="A3" s="7" t="inlineStr">
        <is>
          <t>LOG-COD-002</t>
        </is>
      </c>
      <c r="B3" s="8" t="inlineStr">
        <is>
          <t>COD Reconciliation &amp; Reports</t>
        </is>
      </c>
      <c r="C3" s="8" t="inlineStr">
        <is>
          <t>Short remittance flagged</t>
        </is>
      </c>
      <c r="D3" s="8" t="inlineStr">
        <is>
          <t>Equivalence Partitioning</t>
        </is>
      </c>
      <c r="E3" s="8" t="inlineStr">
        <is>
          <t>High</t>
        </is>
      </c>
      <c r="F3" s="8" t="inlineStr">
        <is>
          <t>Rider 1 remitted ₱1,750.00.</t>
        </is>
      </c>
      <c r="G3" s="8" t="inlineStr">
        <is>
          <t>1. Open reconciliation.</t>
        </is>
      </c>
      <c r="H3" s="8" t="inlineStr"/>
      <c r="I3" s="8" t="inlineStr">
        <is>
          <t>Difference −₱50.00 is highlighted as a shortfall.</t>
        </is>
      </c>
      <c r="J3" s="8" t="inlineStr">
        <is>
          <t>A24</t>
        </is>
      </c>
      <c r="K3" s="5" t="n"/>
      <c r="L3" s="5" t="inlineStr">
        <is>
          <t>Not Run</t>
        </is>
      </c>
      <c r="M3" s="5" t="n"/>
    </row>
    <row r="4" ht="42.25" customHeight="1">
      <c r="A4" s="7" t="inlineStr">
        <is>
          <t>LOG-COD-003</t>
        </is>
      </c>
      <c r="B4" s="8" t="inlineStr">
        <is>
          <t>COD Reconciliation &amp; Reports</t>
        </is>
      </c>
      <c r="C4" s="8" t="inlineStr">
        <is>
          <t>Confirm remittance</t>
        </is>
      </c>
      <c r="D4" s="8" t="inlineStr">
        <is>
          <t>State Transition</t>
        </is>
      </c>
      <c r="E4" s="8" t="inlineStr">
        <is>
          <t>Medium</t>
        </is>
      </c>
      <c r="F4" s="8" t="inlineStr">
        <is>
          <t>Logged in as Logistics 1.</t>
        </is>
      </c>
      <c r="G4" s="8" t="inlineStr">
        <is>
          <t>1. Confirm the remittance.
2. Check Rider 1's balance and the audit log.</t>
        </is>
      </c>
      <c r="H4" s="8" t="inlineStr"/>
      <c r="I4" s="8" t="inlineStr">
        <is>
          <t>Rider 1's balance updates; the confirmation is logged.</t>
        </is>
      </c>
      <c r="J4" s="8" t="inlineStr">
        <is>
          <t>A24, A35</t>
        </is>
      </c>
      <c r="K4" s="5" t="n"/>
      <c r="L4" s="5" t="inlineStr">
        <is>
          <t>Not Run</t>
        </is>
      </c>
      <c r="M4" s="5" t="n"/>
    </row>
    <row r="5" ht="42.25" customHeight="1">
      <c r="A5" s="7" t="inlineStr">
        <is>
          <t>LOG-COD-004</t>
        </is>
      </c>
      <c r="B5" s="8" t="inlineStr">
        <is>
          <t>COD Reconciliation &amp; Reports</t>
        </is>
      </c>
      <c r="C5" s="8" t="inlineStr">
        <is>
          <t>Export reports</t>
        </is>
      </c>
      <c r="D5" s="8" t="inlineStr">
        <is>
          <t>Use Case Testing</t>
        </is>
      </c>
      <c r="E5" s="8" t="inlineStr">
        <is>
          <t>Medium</t>
        </is>
      </c>
      <c r="F5" s="8" t="inlineStr">
        <is>
          <t>Logged in as Logistics 1.</t>
        </is>
      </c>
      <c r="G5" s="8" t="inlineStr">
        <is>
          <t>1. Export deliveries and COD for a date range as CSV and as XLSX.
2. Open both files.</t>
        </is>
      </c>
      <c r="H5" s="8" t="inlineStr"/>
      <c r="I5" s="8" t="inlineStr">
        <is>
          <t>Both files download and open. Rows and totals equal the screen for the same filter.</t>
        </is>
      </c>
      <c r="J5" s="8" t="inlineStr">
        <is>
          <t>A36</t>
        </is>
      </c>
      <c r="K5" s="5" t="n"/>
      <c r="L5" s="5" t="inlineStr">
        <is>
          <t>Not Run</t>
        </is>
      </c>
      <c r="M5" s="5" t="n"/>
    </row>
    <row r="6" ht="29.5" customHeight="1">
      <c r="A6" s="7" t="inlineStr">
        <is>
          <t>LOG-COD-005</t>
        </is>
      </c>
      <c r="B6" s="8" t="inlineStr">
        <is>
          <t>COD Reconciliation &amp; Reports</t>
        </is>
      </c>
      <c r="C6" s="8" t="inlineStr">
        <is>
          <t>Export with no data</t>
        </is>
      </c>
      <c r="D6" s="8" t="inlineStr">
        <is>
          <t>Error Guessing</t>
        </is>
      </c>
      <c r="E6" s="8" t="inlineStr">
        <is>
          <t>Low</t>
        </is>
      </c>
      <c r="F6" s="8" t="inlineStr">
        <is>
          <t>Logged in as Logistics 1.</t>
        </is>
      </c>
      <c r="G6" s="8" t="inlineStr">
        <is>
          <t>1. Export a range with no records.</t>
        </is>
      </c>
      <c r="H6" s="8" t="inlineStr"/>
      <c r="I6" s="8" t="inlineStr">
        <is>
          <t>A file with headers only, or a 'no data' message. No error.</t>
        </is>
      </c>
      <c r="J6" s="8" t="inlineStr">
        <is>
          <t>A36</t>
        </is>
      </c>
      <c r="K6" s="5" t="n"/>
      <c r="L6" s="5" t="inlineStr">
        <is>
          <t>Not Run</t>
        </is>
      </c>
      <c r="M6" s="5" t="n"/>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2026-10-14T03:54:30Z</dcterms:created>
  <dcterms:modified xmlns:dcterms="http://purl.org/dc/terms/" xmlns:xsi="http://www.w3.org/2001/XMLSchema-instance" xsi:type="dcterms:W3CDTF">2026-10-14T03:54:30Z</dcterms:modified>
</cp:coreProperties>
</file>