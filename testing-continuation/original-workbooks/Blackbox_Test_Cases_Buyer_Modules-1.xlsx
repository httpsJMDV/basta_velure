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sumptions" sheetId="2" state="visible" r:id="rId2"/>
    <sheet xmlns:r="http://schemas.openxmlformats.org/officeDocument/2006/relationships" name="Test Data" sheetId="3" state="visible" r:id="rId3"/>
    <sheet xmlns:r="http://schemas.openxmlformats.org/officeDocument/2006/relationships" name="Test Files" sheetId="4" state="visible" r:id="rId4"/>
    <sheet xmlns:r="http://schemas.openxmlformats.org/officeDocument/2006/relationships" name="B1 Account" sheetId="5" state="visible" r:id="rId5"/>
    <sheet xmlns:r="http://schemas.openxmlformats.org/officeDocument/2006/relationships" name="B2 Address Book" sheetId="6" state="visible" r:id="rId6"/>
    <sheet xmlns:r="http://schemas.openxmlformats.org/officeDocument/2006/relationships" name="B3 Browse &amp; Search" sheetId="7" state="visible" r:id="rId7"/>
    <sheet xmlns:r="http://schemas.openxmlformats.org/officeDocument/2006/relationships" name="B4 Product Detail" sheetId="8" state="visible" r:id="rId8"/>
    <sheet xmlns:r="http://schemas.openxmlformats.org/officeDocument/2006/relationships" name="B5 Wishlist &amp; Follow" sheetId="9" state="visible" r:id="rId9"/>
    <sheet xmlns:r="http://schemas.openxmlformats.org/officeDocument/2006/relationships" name="B6 Cart" sheetId="10" state="visible" r:id="rId10"/>
    <sheet xmlns:r="http://schemas.openxmlformats.org/officeDocument/2006/relationships" name="B7 Vouchers" sheetId="11" state="visible" r:id="rId11"/>
    <sheet xmlns:r="http://schemas.openxmlformats.org/officeDocument/2006/relationships" name="B8 Checkout" sheetId="12" state="visible" r:id="rId12"/>
    <sheet xmlns:r="http://schemas.openxmlformats.org/officeDocument/2006/relationships" name="B9 Payment" sheetId="13" state="visible" r:id="rId13"/>
    <sheet xmlns:r="http://schemas.openxmlformats.org/officeDocument/2006/relationships" name="B10 Order Tracking" sheetId="14" state="visible" r:id="rId14"/>
    <sheet xmlns:r="http://schemas.openxmlformats.org/officeDocument/2006/relationships" name="B11 Cancellation" sheetId="15" state="visible" r:id="rId15"/>
    <sheet xmlns:r="http://schemas.openxmlformats.org/officeDocument/2006/relationships" name="B12 Return &amp; Refund" sheetId="16" state="visible" r:id="rId16"/>
    <sheet xmlns:r="http://schemas.openxmlformats.org/officeDocument/2006/relationships" name="B13 Ratings &amp; Reviews" sheetId="17" state="visible" r:id="rId17"/>
    <sheet xmlns:r="http://schemas.openxmlformats.org/officeDocument/2006/relationships" name="B14 Chat &amp; Notifs" sheetId="18" state="visible" r:id="rId18"/>
  </sheets>
  <definedNames>
    <definedName name="_xlnm._FilterDatabase" localSheetId="4" hidden="1">'B1 Account'!$A$1:$M$10</definedName>
    <definedName name="_xlnm._FilterDatabase" localSheetId="5" hidden="1">'B2 Address Book'!$A$1:$M$10</definedName>
    <definedName name="_xlnm._FilterDatabase" localSheetId="6" hidden="1">'B3 Browse &amp; Search'!$A$1:$M$12</definedName>
    <definedName name="_xlnm._FilterDatabase" localSheetId="7" hidden="1">'B4 Product Detail'!$A$1:$M$9</definedName>
    <definedName name="_xlnm._FilterDatabase" localSheetId="8" hidden="1">'B5 Wishlist &amp; Follow'!$A$1:$M$6</definedName>
    <definedName name="_xlnm._FilterDatabase" localSheetId="9" hidden="1">'B6 Cart'!$A$1:$M$11</definedName>
    <definedName name="_xlnm._FilterDatabase" localSheetId="10" hidden="1">'B7 Vouchers'!$A$1:$M$13</definedName>
    <definedName name="_xlnm._FilterDatabase" localSheetId="11" hidden="1">'B8 Checkout'!$A$1:$M$12</definedName>
    <definedName name="_xlnm._FilterDatabase" localSheetId="12" hidden="1">'B9 Payment'!$A$1:$M$8</definedName>
    <definedName name="_xlnm._FilterDatabase" localSheetId="13" hidden="1">'B10 Order Tracking'!$A$1:$M$7</definedName>
    <definedName name="_xlnm._FilterDatabase" localSheetId="14" hidden="1">'B11 Cancellation'!$A$1:$M$7</definedName>
    <definedName name="_xlnm._FilterDatabase" localSheetId="15" hidden="1">'B12 Return &amp; Refund'!$A$1:$M$6</definedName>
    <definedName name="_xlnm._FilterDatabase" localSheetId="16" hidden="1">'B13 Ratings &amp; Reviews'!$A$1:$M$7</definedName>
    <definedName name="_xlnm._FilterDatabase" localSheetId="17" hidden="1">'B14 Chat &amp; Notifs'!$A$1:$M$6</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1F3864"/>
      <sz val="14"/>
    </font>
    <font>
      <name val="Arial"/>
      <sz val="10"/>
    </font>
    <font>
      <name val="Arial"/>
      <b val="1"/>
      <color rgb="001F3864"/>
      <sz val="11"/>
    </font>
    <font>
      <name val="Arial"/>
      <b val="1"/>
      <sz val="10"/>
    </font>
    <font>
      <name val="Arial"/>
      <b val="1"/>
      <color rgb="00FFFFFF"/>
      <sz val="10"/>
    </font>
  </fonts>
  <fills count="5">
    <fill>
      <patternFill/>
    </fill>
    <fill>
      <patternFill patternType="gray125"/>
    </fill>
    <fill>
      <patternFill patternType="solid">
        <fgColor rgb="00F2F2F2"/>
      </patternFill>
    </fill>
    <fill>
      <patternFill patternType="solid">
        <fgColor rgb="00FFF2CC"/>
      </patternFill>
    </fill>
    <fill>
      <patternFill patternType="solid">
        <fgColor rgb="001F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2" fillId="3" borderId="1" applyAlignment="1" pivotButton="0" quotePrefix="0" xfId="0">
      <alignment vertical="top" wrapText="1"/>
    </xf>
    <xf numFmtId="0" fontId="5" fillId="4"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64" fontId="4" fillId="2" borderId="1" applyAlignment="1" pivotButton="0" quotePrefix="0" xfId="0">
      <alignment vertical="top" wrapText="1"/>
    </xf>
    <xf numFmtId="0" fontId="2" fillId="0" borderId="0"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dxfs count="3">
    <dxf>
      <font>
        <color rgb="00006100"/>
      </font>
      <fill>
        <patternFill patternType="solid">
          <bgColor rgb="00C6EFCE"/>
        </patternFill>
      </fill>
    </dxf>
    <dxf>
      <font>
        <color rgb="009C0006"/>
      </font>
      <fill>
        <patternFill patternType="solid">
          <bgColor rgb="00FFC7CE"/>
        </patternFill>
      </fill>
    </dxf>
    <dxf>
      <font>
        <color rgb="009C5700"/>
      </font>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36" customWidth="1" min="1" max="1"/>
    <col width="34" customWidth="1" min="2" max="2"/>
    <col width="10" customWidth="1" min="3" max="3"/>
    <col width="10" customWidth="1" min="4" max="4"/>
    <col width="10" customWidth="1" min="5" max="5"/>
    <col width="10" customWidth="1" min="6" max="6"/>
    <col width="22" customWidth="1" min="7" max="7"/>
  </cols>
  <sheetData>
    <row r="1">
      <c r="A1" s="1" t="inlineStr">
        <is>
          <t>Black-Box Test Cases: Buyer Modules (B1–B14)</t>
        </is>
      </c>
    </row>
    <row r="2">
      <c r="A2" s="2" t="inlineStr">
        <is>
          <t>Multi-role e-commerce and logistics platform (Buyer, Seller, Logistics, Rider)</t>
        </is>
      </c>
    </row>
    <row r="4">
      <c r="A4" s="3" t="inlineStr">
        <is>
          <t>Test run details</t>
        </is>
      </c>
    </row>
    <row r="5">
      <c r="A5" s="4" t="inlineStr">
        <is>
          <t>System under test</t>
        </is>
      </c>
      <c r="B5" s="5" t="n"/>
    </row>
    <row r="6">
      <c r="A6" s="4" t="inlineStr">
        <is>
          <t>Version / build</t>
        </is>
      </c>
      <c r="B6" s="5" t="n"/>
    </row>
    <row r="7">
      <c r="A7" s="4" t="inlineStr">
        <is>
          <t>Test environment (browser, device)</t>
        </is>
      </c>
      <c r="B7" s="5" t="n"/>
    </row>
    <row r="8">
      <c r="A8" s="4" t="inlineStr">
        <is>
          <t>Tester</t>
        </is>
      </c>
      <c r="B8" s="5" t="n"/>
    </row>
    <row r="9">
      <c r="A9" s="4" t="inlineStr">
        <is>
          <t>Date tested</t>
        </is>
      </c>
      <c r="B9" s="5" t="n"/>
    </row>
    <row r="11">
      <c r="A11" s="3" t="inlineStr">
        <is>
          <t>Results by module</t>
        </is>
      </c>
    </row>
    <row r="12">
      <c r="A12" s="6" t="inlineStr">
        <is>
          <t>Module (sheet)</t>
        </is>
      </c>
      <c r="B12" s="6" t="inlineStr">
        <is>
          <t>Total test cases</t>
        </is>
      </c>
      <c r="C12" s="6" t="inlineStr">
        <is>
          <t>Pass</t>
        </is>
      </c>
      <c r="D12" s="6" t="inlineStr">
        <is>
          <t>Fail</t>
        </is>
      </c>
      <c r="E12" s="6" t="inlineStr">
        <is>
          <t>Blocked</t>
        </is>
      </c>
      <c r="F12" s="6" t="inlineStr">
        <is>
          <t>Not Run</t>
        </is>
      </c>
      <c r="G12" s="6" t="inlineStr">
        <is>
          <t>Pass rate (Pass / Total)</t>
        </is>
      </c>
    </row>
    <row r="13">
      <c r="A13" s="7" t="inlineStr">
        <is>
          <t>B1 Account</t>
        </is>
      </c>
      <c r="B13" s="8">
        <f>COUNTA('B1 Account'!$A$2:$A$200)</f>
        <v/>
      </c>
      <c r="C13" s="8">
        <f>COUNTIF('B1 Account'!$L$2:$L$200,"Pass")</f>
        <v/>
      </c>
      <c r="D13" s="8">
        <f>COUNTIF('B1 Account'!$L$2:$L$200,"Fail")</f>
        <v/>
      </c>
      <c r="E13" s="8">
        <f>COUNTIF('B1 Account'!$L$2:$L$200,"Blocked")</f>
        <v/>
      </c>
      <c r="F13" s="8">
        <f>COUNTIF('B1 Account'!$L$2:$L$200,"Not Run")</f>
        <v/>
      </c>
      <c r="G13" s="9">
        <f>IF(B13=0,0,C13/B13)</f>
        <v/>
      </c>
    </row>
    <row r="14">
      <c r="A14" s="7" t="inlineStr">
        <is>
          <t>B2 Address Book</t>
        </is>
      </c>
      <c r="B14" s="8">
        <f>COUNTA('B2 Address Book'!$A$2:$A$200)</f>
        <v/>
      </c>
      <c r="C14" s="8">
        <f>COUNTIF('B2 Address Book'!$L$2:$L$200,"Pass")</f>
        <v/>
      </c>
      <c r="D14" s="8">
        <f>COUNTIF('B2 Address Book'!$L$2:$L$200,"Fail")</f>
        <v/>
      </c>
      <c r="E14" s="8">
        <f>COUNTIF('B2 Address Book'!$L$2:$L$200,"Blocked")</f>
        <v/>
      </c>
      <c r="F14" s="8">
        <f>COUNTIF('B2 Address Book'!$L$2:$L$200,"Not Run")</f>
        <v/>
      </c>
      <c r="G14" s="9">
        <f>IF(B14=0,0,C14/B14)</f>
        <v/>
      </c>
    </row>
    <row r="15">
      <c r="A15" s="7" t="inlineStr">
        <is>
          <t>B3 Browse &amp; Search</t>
        </is>
      </c>
      <c r="B15" s="8">
        <f>COUNTA('B3 Browse &amp; Search'!$A$2:$A$200)</f>
        <v/>
      </c>
      <c r="C15" s="8">
        <f>COUNTIF('B3 Browse &amp; Search'!$L$2:$L$200,"Pass")</f>
        <v/>
      </c>
      <c r="D15" s="8">
        <f>COUNTIF('B3 Browse &amp; Search'!$L$2:$L$200,"Fail")</f>
        <v/>
      </c>
      <c r="E15" s="8">
        <f>COUNTIF('B3 Browse &amp; Search'!$L$2:$L$200,"Blocked")</f>
        <v/>
      </c>
      <c r="F15" s="8">
        <f>COUNTIF('B3 Browse &amp; Search'!$L$2:$L$200,"Not Run")</f>
        <v/>
      </c>
      <c r="G15" s="9">
        <f>IF(B15=0,0,C15/B15)</f>
        <v/>
      </c>
    </row>
    <row r="16">
      <c r="A16" s="7" t="inlineStr">
        <is>
          <t>B4 Product Detail</t>
        </is>
      </c>
      <c r="B16" s="8">
        <f>COUNTA('B4 Product Detail'!$A$2:$A$200)</f>
        <v/>
      </c>
      <c r="C16" s="8">
        <f>COUNTIF('B4 Product Detail'!$L$2:$L$200,"Pass")</f>
        <v/>
      </c>
      <c r="D16" s="8">
        <f>COUNTIF('B4 Product Detail'!$L$2:$L$200,"Fail")</f>
        <v/>
      </c>
      <c r="E16" s="8">
        <f>COUNTIF('B4 Product Detail'!$L$2:$L$200,"Blocked")</f>
        <v/>
      </c>
      <c r="F16" s="8">
        <f>COUNTIF('B4 Product Detail'!$L$2:$L$200,"Not Run")</f>
        <v/>
      </c>
      <c r="G16" s="9">
        <f>IF(B16=0,0,C16/B16)</f>
        <v/>
      </c>
    </row>
    <row r="17">
      <c r="A17" s="7" t="inlineStr">
        <is>
          <t>B5 Wishlist &amp; Follow</t>
        </is>
      </c>
      <c r="B17" s="8">
        <f>COUNTA('B5 Wishlist &amp; Follow'!$A$2:$A$200)</f>
        <v/>
      </c>
      <c r="C17" s="8">
        <f>COUNTIF('B5 Wishlist &amp; Follow'!$L$2:$L$200,"Pass")</f>
        <v/>
      </c>
      <c r="D17" s="8">
        <f>COUNTIF('B5 Wishlist &amp; Follow'!$L$2:$L$200,"Fail")</f>
        <v/>
      </c>
      <c r="E17" s="8">
        <f>COUNTIF('B5 Wishlist &amp; Follow'!$L$2:$L$200,"Blocked")</f>
        <v/>
      </c>
      <c r="F17" s="8">
        <f>COUNTIF('B5 Wishlist &amp; Follow'!$L$2:$L$200,"Not Run")</f>
        <v/>
      </c>
      <c r="G17" s="9">
        <f>IF(B17=0,0,C17/B17)</f>
        <v/>
      </c>
    </row>
    <row r="18">
      <c r="A18" s="7" t="inlineStr">
        <is>
          <t>B6 Cart</t>
        </is>
      </c>
      <c r="B18" s="8">
        <f>COUNTA('B6 Cart'!$A$2:$A$200)</f>
        <v/>
      </c>
      <c r="C18" s="8">
        <f>COUNTIF('B6 Cart'!$L$2:$L$200,"Pass")</f>
        <v/>
      </c>
      <c r="D18" s="8">
        <f>COUNTIF('B6 Cart'!$L$2:$L$200,"Fail")</f>
        <v/>
      </c>
      <c r="E18" s="8">
        <f>COUNTIF('B6 Cart'!$L$2:$L$200,"Blocked")</f>
        <v/>
      </c>
      <c r="F18" s="8">
        <f>COUNTIF('B6 Cart'!$L$2:$L$200,"Not Run")</f>
        <v/>
      </c>
      <c r="G18" s="9">
        <f>IF(B18=0,0,C18/B18)</f>
        <v/>
      </c>
    </row>
    <row r="19">
      <c r="A19" s="7" t="inlineStr">
        <is>
          <t>B7 Vouchers</t>
        </is>
      </c>
      <c r="B19" s="8">
        <f>COUNTA('B7 Vouchers'!$A$2:$A$200)</f>
        <v/>
      </c>
      <c r="C19" s="8">
        <f>COUNTIF('B7 Vouchers'!$L$2:$L$200,"Pass")</f>
        <v/>
      </c>
      <c r="D19" s="8">
        <f>COUNTIF('B7 Vouchers'!$L$2:$L$200,"Fail")</f>
        <v/>
      </c>
      <c r="E19" s="8">
        <f>COUNTIF('B7 Vouchers'!$L$2:$L$200,"Blocked")</f>
        <v/>
      </c>
      <c r="F19" s="8">
        <f>COUNTIF('B7 Vouchers'!$L$2:$L$200,"Not Run")</f>
        <v/>
      </c>
      <c r="G19" s="9">
        <f>IF(B19=0,0,C19/B19)</f>
        <v/>
      </c>
    </row>
    <row r="20">
      <c r="A20" s="7" t="inlineStr">
        <is>
          <t>B8 Checkout</t>
        </is>
      </c>
      <c r="B20" s="8">
        <f>COUNTA('B8 Checkout'!$A$2:$A$200)</f>
        <v/>
      </c>
      <c r="C20" s="8">
        <f>COUNTIF('B8 Checkout'!$L$2:$L$200,"Pass")</f>
        <v/>
      </c>
      <c r="D20" s="8">
        <f>COUNTIF('B8 Checkout'!$L$2:$L$200,"Fail")</f>
        <v/>
      </c>
      <c r="E20" s="8">
        <f>COUNTIF('B8 Checkout'!$L$2:$L$200,"Blocked")</f>
        <v/>
      </c>
      <c r="F20" s="8">
        <f>COUNTIF('B8 Checkout'!$L$2:$L$200,"Not Run")</f>
        <v/>
      </c>
      <c r="G20" s="9">
        <f>IF(B20=0,0,C20/B20)</f>
        <v/>
      </c>
    </row>
    <row r="21">
      <c r="A21" s="7" t="inlineStr">
        <is>
          <t>B9 Payment</t>
        </is>
      </c>
      <c r="B21" s="8">
        <f>COUNTA('B9 Payment'!$A$2:$A$200)</f>
        <v/>
      </c>
      <c r="C21" s="8">
        <f>COUNTIF('B9 Payment'!$L$2:$L$200,"Pass")</f>
        <v/>
      </c>
      <c r="D21" s="8">
        <f>COUNTIF('B9 Payment'!$L$2:$L$200,"Fail")</f>
        <v/>
      </c>
      <c r="E21" s="8">
        <f>COUNTIF('B9 Payment'!$L$2:$L$200,"Blocked")</f>
        <v/>
      </c>
      <c r="F21" s="8">
        <f>COUNTIF('B9 Payment'!$L$2:$L$200,"Not Run")</f>
        <v/>
      </c>
      <c r="G21" s="9">
        <f>IF(B21=0,0,C21/B21)</f>
        <v/>
      </c>
    </row>
    <row r="22">
      <c r="A22" s="7" t="inlineStr">
        <is>
          <t>B10 Order Tracking</t>
        </is>
      </c>
      <c r="B22" s="8">
        <f>COUNTA('B10 Order Tracking'!$A$2:$A$200)</f>
        <v/>
      </c>
      <c r="C22" s="8">
        <f>COUNTIF('B10 Order Tracking'!$L$2:$L$200,"Pass")</f>
        <v/>
      </c>
      <c r="D22" s="8">
        <f>COUNTIF('B10 Order Tracking'!$L$2:$L$200,"Fail")</f>
        <v/>
      </c>
      <c r="E22" s="8">
        <f>COUNTIF('B10 Order Tracking'!$L$2:$L$200,"Blocked")</f>
        <v/>
      </c>
      <c r="F22" s="8">
        <f>COUNTIF('B10 Order Tracking'!$L$2:$L$200,"Not Run")</f>
        <v/>
      </c>
      <c r="G22" s="9">
        <f>IF(B22=0,0,C22/B22)</f>
        <v/>
      </c>
    </row>
    <row r="23">
      <c r="A23" s="7" t="inlineStr">
        <is>
          <t>B11 Cancellation</t>
        </is>
      </c>
      <c r="B23" s="8">
        <f>COUNTA('B11 Cancellation'!$A$2:$A$200)</f>
        <v/>
      </c>
      <c r="C23" s="8">
        <f>COUNTIF('B11 Cancellation'!$L$2:$L$200,"Pass")</f>
        <v/>
      </c>
      <c r="D23" s="8">
        <f>COUNTIF('B11 Cancellation'!$L$2:$L$200,"Fail")</f>
        <v/>
      </c>
      <c r="E23" s="8">
        <f>COUNTIF('B11 Cancellation'!$L$2:$L$200,"Blocked")</f>
        <v/>
      </c>
      <c r="F23" s="8">
        <f>COUNTIF('B11 Cancellation'!$L$2:$L$200,"Not Run")</f>
        <v/>
      </c>
      <c r="G23" s="9">
        <f>IF(B23=0,0,C23/B23)</f>
        <v/>
      </c>
    </row>
    <row r="24">
      <c r="A24" s="7" t="inlineStr">
        <is>
          <t>B12 Return &amp; Refund</t>
        </is>
      </c>
      <c r="B24" s="8">
        <f>COUNTA('B12 Return &amp; Refund'!$A$2:$A$200)</f>
        <v/>
      </c>
      <c r="C24" s="8">
        <f>COUNTIF('B12 Return &amp; Refund'!$L$2:$L$200,"Pass")</f>
        <v/>
      </c>
      <c r="D24" s="8">
        <f>COUNTIF('B12 Return &amp; Refund'!$L$2:$L$200,"Fail")</f>
        <v/>
      </c>
      <c r="E24" s="8">
        <f>COUNTIF('B12 Return &amp; Refund'!$L$2:$L$200,"Blocked")</f>
        <v/>
      </c>
      <c r="F24" s="8">
        <f>COUNTIF('B12 Return &amp; Refund'!$L$2:$L$200,"Not Run")</f>
        <v/>
      </c>
      <c r="G24" s="9">
        <f>IF(B24=0,0,C24/B24)</f>
        <v/>
      </c>
    </row>
    <row r="25">
      <c r="A25" s="7" t="inlineStr">
        <is>
          <t>B13 Ratings &amp; Reviews</t>
        </is>
      </c>
      <c r="B25" s="8">
        <f>COUNTA('B13 Ratings &amp; Reviews'!$A$2:$A$200)</f>
        <v/>
      </c>
      <c r="C25" s="8">
        <f>COUNTIF('B13 Ratings &amp; Reviews'!$L$2:$L$200,"Pass")</f>
        <v/>
      </c>
      <c r="D25" s="8">
        <f>COUNTIF('B13 Ratings &amp; Reviews'!$L$2:$L$200,"Fail")</f>
        <v/>
      </c>
      <c r="E25" s="8">
        <f>COUNTIF('B13 Ratings &amp; Reviews'!$L$2:$L$200,"Blocked")</f>
        <v/>
      </c>
      <c r="F25" s="8">
        <f>COUNTIF('B13 Ratings &amp; Reviews'!$L$2:$L$200,"Not Run")</f>
        <v/>
      </c>
      <c r="G25" s="9">
        <f>IF(B25=0,0,C25/B25)</f>
        <v/>
      </c>
    </row>
    <row r="26">
      <c r="A26" s="7" t="inlineStr">
        <is>
          <t>B14 Chat &amp; Notifs</t>
        </is>
      </c>
      <c r="B26" s="8">
        <f>COUNTA('B14 Chat &amp; Notifs'!$A$2:$A$200)</f>
        <v/>
      </c>
      <c r="C26" s="8">
        <f>COUNTIF('B14 Chat &amp; Notifs'!$L$2:$L$200,"Pass")</f>
        <v/>
      </c>
      <c r="D26" s="8">
        <f>COUNTIF('B14 Chat &amp; Notifs'!$L$2:$L$200,"Fail")</f>
        <v/>
      </c>
      <c r="E26" s="8">
        <f>COUNTIF('B14 Chat &amp; Notifs'!$L$2:$L$200,"Blocked")</f>
        <v/>
      </c>
      <c r="F26" s="8">
        <f>COUNTIF('B14 Chat &amp; Notifs'!$L$2:$L$200,"Not Run")</f>
        <v/>
      </c>
      <c r="G26" s="9">
        <f>IF(B26=0,0,C26/B26)</f>
        <v/>
      </c>
    </row>
    <row r="27">
      <c r="A27" s="4" t="inlineStr">
        <is>
          <t>Total</t>
        </is>
      </c>
      <c r="B27" s="4">
        <f>SUM(B13:B26)</f>
        <v/>
      </c>
      <c r="C27" s="4">
        <f>SUM(C13:C26)</f>
        <v/>
      </c>
      <c r="D27" s="4">
        <f>SUM(D13:D26)</f>
        <v/>
      </c>
      <c r="E27" s="4">
        <f>SUM(E13:E26)</f>
        <v/>
      </c>
      <c r="F27" s="4">
        <f>SUM(F13:F26)</f>
        <v/>
      </c>
      <c r="G27" s="10">
        <f>IF(B27=0,0,C27/B27)</f>
        <v/>
      </c>
    </row>
    <row r="29">
      <c r="A29" s="3" t="inlineStr">
        <is>
          <t>How to use this workbook</t>
        </is>
      </c>
    </row>
    <row r="30" ht="16.75" customHeight="1">
      <c r="A30" s="11" t="inlineStr">
        <is>
          <t>1. Run after the Seller test set, so the products, vouchers and sales on the Test Data sheet exist.</t>
        </is>
      </c>
    </row>
    <row r="31" ht="29.5" customHeight="1">
      <c r="A31" s="11" t="inlineStr">
        <is>
          <t>2. Strict pass rule: a case passes only if EVERY point in its Expected Result is true. If any point is false, or something happens that the Expected Result does not mention (an extra record, a stock change, a wrong notification, a console error, a 500 page), mark it Fail.</t>
        </is>
      </c>
    </row>
    <row r="32" ht="29.5" customHeight="1">
      <c r="A32" s="11" t="inlineStr">
        <is>
          <t>3. Check side effects, not just the screen: after each case, confirm the stock, order status, voucher usage, balances and the other roles' views named in the Expected Result. 'Nothing is saved' means the record is missing after a page refresh.</t>
        </is>
      </c>
    </row>
    <row r="33" ht="29.5" customHeight="1">
      <c r="A33" s="11" t="inlineStr">
        <is>
          <t>4. Error messages must appear next to the field (or at the top of the form) and say what is wrong and how to fix it. A generic 'Something went wrong', a blank page, or a 500 error is a Fail even when the action was correctly blocked.</t>
        </is>
      </c>
    </row>
    <row r="34" ht="29.5" customHeight="1">
      <c r="A34" s="11" t="inlineStr">
        <is>
          <t>5. For 'Error Guessing' security cases, a correct block shows a 403 page, a 'not found' page or a redirect, and shows NO data from the other user's record anywhere on the page.</t>
        </is>
      </c>
    </row>
    <row r="35" ht="29.5" customHeight="1">
      <c r="A35" s="11" t="inlineStr">
        <is>
          <t>6. Read the Assumptions sheet first. Rules A2 to A8 are the seven rules the module plan says must be agreed before testing; adjust any case whose rule differs from your system.</t>
        </is>
      </c>
    </row>
    <row r="36" ht="29.5" customHeight="1">
      <c r="A36" s="11" t="inlineStr">
        <is>
          <t>7. Seed the accounts, products, vouchers and shipping rates on the Test Data sheet before running the cases. Emails use example.com; read them from a mail catcher such as Mailtrap.</t>
        </is>
      </c>
    </row>
    <row r="37" ht="16.75" customHeight="1">
      <c r="A37" s="11" t="inlineStr">
        <is>
          <t>8. Test Case IDs follow &lt;ROLE&gt;-&lt;MODULE&gt;-&lt;NNN&gt;. Each module has positive, negative and boundary cases.</t>
        </is>
      </c>
    </row>
    <row r="38" ht="16.75" customHeight="1">
      <c r="A38" s="11" t="inlineStr">
        <is>
          <t>9. Fill in only the yellow cells: Actual Result, Status and Remarks. Pick the Status from the dropdown (Pass, Fail, Blocked, Not Run).</t>
        </is>
      </c>
    </row>
    <row r="39" ht="29.5" customHeight="1">
      <c r="A39" s="11" t="inlineStr">
        <is>
          <t>10. Pass = actual matches expected. Fail = it does not (describe what happened and add a screenshot or bug number in Remarks). Blocked = the case could not be run, for example because an earlier case failed.</t>
        </is>
      </c>
    </row>
    <row r="40" ht="16.75" customHeight="1">
      <c r="A40" s="11" t="inlineStr">
        <is>
          <t>11. The Results by module table above updates automatically from the Status column.</t>
        </is>
      </c>
    </row>
    <row r="42">
      <c r="A42" s="3" t="inlineStr">
        <is>
          <t>Black-box techniques used</t>
        </is>
      </c>
    </row>
    <row r="43">
      <c r="A43" s="4" t="inlineStr">
        <is>
          <t>Equivalence Partitioning</t>
        </is>
      </c>
      <c r="B43" s="8" t="inlineStr">
        <is>
          <t>Inputs are grouped into valid and invalid classes, and one value from each class is tested.</t>
        </is>
      </c>
      <c r="C43" s="12" t="n"/>
      <c r="D43" s="12" t="n"/>
      <c r="E43" s="12" t="n"/>
      <c r="F43" s="12" t="n"/>
      <c r="G43" s="13" t="n"/>
    </row>
    <row r="44">
      <c r="A44" s="4" t="inlineStr">
        <is>
          <t>Boundary Value Analysis</t>
        </is>
      </c>
      <c r="B44" s="8" t="inlineStr">
        <is>
          <t>Values at and just beyond a limit are tested, for example ₱0.99, ₱1.00 and ₱1.01 for a ₱1.00 minimum price.</t>
        </is>
      </c>
      <c r="C44" s="12" t="n"/>
      <c r="D44" s="12" t="n"/>
      <c r="E44" s="12" t="n"/>
      <c r="F44" s="12" t="n"/>
      <c r="G44" s="13" t="n"/>
    </row>
    <row r="45">
      <c r="A45" s="4" t="inlineStr">
        <is>
          <t>Decision Table</t>
        </is>
      </c>
      <c r="B45" s="8" t="inlineStr">
        <is>
          <t>Combinations of conditions are tested, for example which vouchers can stack.</t>
        </is>
      </c>
      <c r="C45" s="12" t="n"/>
      <c r="D45" s="12" t="n"/>
      <c r="E45" s="12" t="n"/>
      <c r="F45" s="12" t="n"/>
      <c r="G45" s="13" t="n"/>
    </row>
    <row r="46">
      <c r="A46" s="4" t="inlineStr">
        <is>
          <t>State Transition</t>
        </is>
      </c>
      <c r="B46" s="8" t="inlineStr">
        <is>
          <t>Changes in order or shipment status are tested, including transitions that must be blocked.</t>
        </is>
      </c>
      <c r="C46" s="12" t="n"/>
      <c r="D46" s="12" t="n"/>
      <c r="E46" s="12" t="n"/>
      <c r="F46" s="12" t="n"/>
      <c r="G46" s="13" t="n"/>
    </row>
    <row r="47">
      <c r="A47" s="4" t="inlineStr">
        <is>
          <t>Use Case Testing</t>
        </is>
      </c>
      <c r="B47" s="8" t="inlineStr">
        <is>
          <t>A complete user flow is tested from start to finish with valid data.</t>
        </is>
      </c>
      <c r="C47" s="12" t="n"/>
      <c r="D47" s="12" t="n"/>
      <c r="E47" s="12" t="n"/>
      <c r="F47" s="12" t="n"/>
      <c r="G47" s="13" t="n"/>
    </row>
    <row r="48">
      <c r="A48" s="4" t="inlineStr">
        <is>
          <t>Error Guessing</t>
        </is>
      </c>
      <c r="B48" s="8" t="inlineStr">
        <is>
          <t>Likely mistakes are tested based on experience, for example double-clicking Place Order or editing an ID in the URL.</t>
        </is>
      </c>
      <c r="C48" s="12" t="n"/>
      <c r="D48" s="12" t="n"/>
      <c r="E48" s="12" t="n"/>
      <c r="F48" s="12" t="n"/>
      <c r="G48" s="13" t="n"/>
    </row>
  </sheetData>
  <mergeCells count="17">
    <mergeCell ref="A32:G32"/>
    <mergeCell ref="A36:G36"/>
    <mergeCell ref="B47:G47"/>
    <mergeCell ref="B48:G48"/>
    <mergeCell ref="A40:G40"/>
    <mergeCell ref="B46:G46"/>
    <mergeCell ref="A31:G31"/>
    <mergeCell ref="A39:G39"/>
    <mergeCell ref="A34:G34"/>
    <mergeCell ref="A35:G35"/>
    <mergeCell ref="B45:G45"/>
    <mergeCell ref="A30:G30"/>
    <mergeCell ref="A38:G38"/>
    <mergeCell ref="B43:G43"/>
    <mergeCell ref="B44:G44"/>
    <mergeCell ref="A33:G33"/>
    <mergeCell ref="A37:G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pane ySplit="4" topLeftCell="A5" activePane="bottomLeft" state="frozen"/>
      <selection pane="bottomLeft" activeCell="A1" sqref="A1"/>
    </sheetView>
  </sheetViews>
  <sheetFormatPr baseColWidth="8" defaultRowHeight="15"/>
  <cols>
    <col width="8" customWidth="1" min="1" max="1"/>
    <col width="28" customWidth="1" min="2" max="2"/>
    <col width="95" customWidth="1" min="3" max="3"/>
    <col width="38" customWidth="1" min="4" max="4"/>
  </cols>
  <sheetData>
    <row r="1">
      <c r="A1" s="1" t="inlineStr">
        <is>
          <t>Assumptions used in the test cases</t>
        </is>
      </c>
    </row>
    <row r="2" ht="42" customHeight="1">
      <c r="A2" s="11" t="inlineStr">
        <is>
          <t>These rules are assumptions modeled on Philippine marketplaces, not taken from your actual system. Rules A2 to A8 are the seven rules the module plan says must be agreed before testing; A25 to A37 fix the limits the strict expected results depend on. Write your real rule in column D where it differs, then filter the Assumption Ref column on each module sheet to find the test cases to adjust.</t>
        </is>
      </c>
    </row>
    <row r="4">
      <c r="A4" s="6" t="inlineStr">
        <is>
          <t>Ref</t>
        </is>
      </c>
      <c r="B4" s="6" t="inlineStr">
        <is>
          <t>Topic</t>
        </is>
      </c>
      <c r="C4" s="6" t="inlineStr">
        <is>
          <t>Assumed rule</t>
        </is>
      </c>
      <c r="D4" s="6" t="inlineStr">
        <is>
          <t>Your system's actual rule (fill in if different)</t>
        </is>
      </c>
    </row>
    <row r="5" ht="55" customHeight="1">
      <c r="A5" s="7" t="inlineStr">
        <is>
          <t>A1</t>
        </is>
      </c>
      <c r="B5" s="7" t="inlineStr">
        <is>
          <t>Test accounts</t>
        </is>
      </c>
      <c r="C5" s="8" t="inlineStr">
        <is>
          <t>The accounts on the Test Data sheet already exist and are Active or Approved (they are the accounts created in the Account Creation test set). Seller 3 is Pending Approval and Rider 3 is Suspended, for the negative cases. Reset the seeded products, stock and vouchers to their Test Data values before each module.</t>
        </is>
      </c>
      <c r="D5" s="5" t="n"/>
    </row>
    <row r="6" ht="29.5" customHeight="1">
      <c r="A6" s="7" t="inlineStr">
        <is>
          <t>A2</t>
        </is>
      </c>
      <c r="B6" s="7" t="inlineStr">
        <is>
          <t>Voucher stacking (rule 1)</t>
        </is>
      </c>
      <c r="C6" s="8" t="inlineStr">
        <is>
          <t>Per order: at most 1 store voucher per store, plus 1 platform voucher, plus 1 shipping voucher. Selecting a second voucher of the same type replaces the first; it never stacks.</t>
        </is>
      </c>
      <c r="D6" s="5" t="n"/>
    </row>
    <row r="7" ht="42.25" customHeight="1">
      <c r="A7" s="7" t="inlineStr">
        <is>
          <t>A3</t>
        </is>
      </c>
      <c r="B7" s="7" t="inlineStr">
        <is>
          <t>Stock deduction (rule 2)</t>
        </is>
      </c>
      <c r="C7" s="8" t="inlineStr">
        <is>
          <t>Stock is deducted when the order is placed, for every payment method. It is restored when the order is cancelled (by buyer, seller or auto-cancel). For a Return-to-Sender or returned parcel, stock is restored when the seller confirms receipt. Stock can never go below 0.</t>
        </is>
      </c>
      <c r="D7" s="5" t="n"/>
    </row>
    <row r="8" ht="29.5" customHeight="1">
      <c r="A8" s="7" t="inlineStr">
        <is>
          <t>A4</t>
        </is>
      </c>
      <c r="B8" s="7" t="inlineStr">
        <is>
          <t>Sale + voucher (rule 3)</t>
        </is>
      </c>
      <c r="C8" s="8" t="inlineStr">
        <is>
          <t>Vouchers apply to items already on sale. Minimum spend is checked against the price actually paid (the sale or flash price), not the original price.</t>
        </is>
      </c>
      <c r="D8" s="5" t="n"/>
    </row>
    <row r="9" ht="55" customHeight="1">
      <c r="A9" s="7" t="inlineStr">
        <is>
          <t>A5</t>
        </is>
      </c>
      <c r="B9" s="7" t="inlineStr">
        <is>
          <t>Flash sales (rule 4)</t>
        </is>
      </c>
      <c r="C9" s="8" t="inlineStr">
        <is>
          <t>Sellers create flash sales for their own products in fixed time slots. When a product is in both a store sale and a flash sale, the flash price wins while flash quantity remains. Units beyond the remaining flash quantity in the same order are charged at the store sale price, or the regular price if there is no sale, and are shown on a separate line.</t>
        </is>
      </c>
      <c r="D9" s="5" t="n"/>
    </row>
    <row r="10" ht="42.25" customHeight="1">
      <c r="A10" s="7" t="inlineStr">
        <is>
          <t>A6</t>
        </is>
      </c>
      <c r="B10" s="7" t="inlineStr">
        <is>
          <t>Cancellation window and auto-cancel (rule 5)</t>
        </is>
      </c>
      <c r="C10" s="8" t="inlineStr">
        <is>
          <t>A buyer can cancel until the seller marks the order Ready for Pickup; after that there is no cancel option at all. A seller can cancel until the parcel is Picked Up. Unpaid e-wallet or card orders auto-cancel exactly 1 hour after the order is placed.</t>
        </is>
      </c>
      <c r="D10" s="5" t="n"/>
    </row>
    <row r="11" ht="29.5" customHeight="1">
      <c r="A11" s="7" t="inlineStr">
        <is>
          <t>A7</t>
        </is>
      </c>
      <c r="B11" s="7" t="inlineStr">
        <is>
          <t>Variation limits and category depth (rule 6)</t>
        </is>
      </c>
      <c r="C11" s="8" t="inlineStr">
        <is>
          <t>A product has at most 2 variation types, with 1 to 20 options per type. Store categories have at most 2 levels (category and subcategory). A product can belong to up to 3 store categories.</t>
        </is>
      </c>
      <c r="D11" s="5" t="n"/>
    </row>
    <row r="12" ht="80.5" customHeight="1">
      <c r="A12" s="7" t="inlineStr">
        <is>
          <t>A8</t>
        </is>
      </c>
      <c r="B12" s="7" t="inlineStr">
        <is>
          <t>Voucher funding (rule 7)</t>
        </is>
      </c>
      <c r="C12" s="8" t="inlineStr">
        <is>
          <t>Store vouchers, sale discounts, flash sales and bundle discounts are seller-funded. Platform vouchers and shipping vouchers are platform-funded and never reduce the seller's earnings. A platform voucher on a multi-store checkout is split across the store orders in proportion to each store's merchandise subtotal, rounded to the centavo, with any rounding remainder given to the largest store. When only some items in an order are refunded, the store voucher is split across the items in proportion to their price, and the refund is the item price minus its voucher share.</t>
        </is>
      </c>
      <c r="D12" s="5" t="n"/>
    </row>
    <row r="13" ht="29.5" customHeight="1">
      <c r="A13" s="7" t="inlineStr">
        <is>
          <t>A9</t>
        </is>
      </c>
      <c r="B13" s="7" t="inlineStr">
        <is>
          <t>Platform commission and rounding</t>
        </is>
      </c>
      <c r="C13" s="8" t="inlineStr">
        <is>
          <t>Commission is 5% of the item subtotal after seller-funded discounts. Shipping fees are not part of the seller's gross sales. All money is rounded to 2 decimals (half up) per order.</t>
        </is>
      </c>
      <c r="D13" s="5" t="n"/>
    </row>
    <row r="14" ht="55" customHeight="1">
      <c r="A14" s="7" t="inlineStr">
        <is>
          <t>A10</t>
        </is>
      </c>
      <c r="B14" s="7" t="inlineStr">
        <is>
          <t>Order status flow</t>
        </is>
      </c>
      <c r="C14" s="8" t="inlineStr">
        <is>
          <t>Buyer tabs: To Pay → To Ship → To Receive → Completed (or Cancelled, Return/Refund). Seller: New → Accepted → Packed → Ready for Pickup. Shipment: Ready for Pickup → Assigned → Picked Up → At Hub → Out for Delivery → Delivered (or Failed Delivery → Return to Sender → Returned to Sender). No status can be skipped or moved backwards except by a logged Logistics override.</t>
        </is>
      </c>
      <c r="D14" s="5" t="n"/>
    </row>
    <row r="15" ht="42.25" customHeight="1">
      <c r="A15" s="7" t="inlineStr">
        <is>
          <t>A11</t>
        </is>
      </c>
      <c r="B15" s="7" t="inlineStr">
        <is>
          <t>Order completion and return window</t>
        </is>
      </c>
      <c r="C15" s="8" t="inlineStr">
        <is>
          <t>The buyer clicks Order Received, or the order completes automatically 7 days (168 hours) after Delivered. A return or refund can be requested only after Delivered, within those 7 days and before the order is Completed.</t>
        </is>
      </c>
      <c r="D15" s="5" t="n"/>
    </row>
    <row r="16" ht="55" customHeight="1">
      <c r="A16" s="7" t="inlineStr">
        <is>
          <t>A12</t>
        </is>
      </c>
      <c r="B16" s="7" t="inlineStr">
        <is>
          <t>Reviews</t>
        </is>
      </c>
      <c r="C16" s="8" t="inlineStr">
        <is>
          <t>A review is allowed only for Completed orders, within 30 days of completion, one review per item. Stars (1–5) are required; text is optional, up to 500 characters; up to 5 photos. It can be edited once within the 30 days. The seller can post one reply per review and edit it; the seller cannot delete or hide a buyer's review.</t>
        </is>
      </c>
      <c r="D16" s="5" t="n"/>
    </row>
    <row r="17" ht="42.25" customHeight="1">
      <c r="A17" s="7" t="inlineStr">
        <is>
          <t>A13</t>
        </is>
      </c>
      <c r="B17" s="7" t="inlineStr">
        <is>
          <t>Failed delivery</t>
        </is>
      </c>
      <c r="C17" s="8" t="inlineStr">
        <is>
          <t>Up to 3 delivery attempts. A reason from the list (Buyer not home, Wrong address, Refused) is required for every failed attempt. After the 3rd failed attempt, or immediately when the reason is Refused, the parcel is marked Return to Sender.</t>
        </is>
      </c>
      <c r="D17" s="5" t="n"/>
    </row>
    <row r="18" ht="42.25" customHeight="1">
      <c r="A18" s="7" t="inlineStr">
        <is>
          <t>A14</t>
        </is>
      </c>
      <c r="B18" s="7" t="inlineStr">
        <is>
          <t>Rider job rules</t>
        </is>
      </c>
      <c r="C18" s="8" t="inlineStr">
        <is>
          <t>A job offer expires after 60 seconds. A declined or expired offer goes to the next nearest eligible rider; after 3 riders decline or let it expire, the job goes to the Unassigned queue for manual assignment. A rider holds at most 3 active jobs. Only Active, Online riders receive offers.</t>
        </is>
      </c>
      <c r="D18" s="5" t="n"/>
    </row>
    <row r="19" ht="42.25" customHeight="1">
      <c r="A19" s="7" t="inlineStr">
        <is>
          <t>A15</t>
        </is>
      </c>
      <c r="B19" s="7" t="inlineStr">
        <is>
          <t>Seller earnings and payout</t>
        </is>
      </c>
      <c r="C19" s="8" t="inlineStr">
        <is>
          <t>Earnings move from Pending to Available only when an order is Completed. Cancelled, returned and refunded amounts are excluded. A payout request must be at least ₱100.00 and no more than the Available balance, and only one payout request can be pending at a time.</t>
        </is>
      </c>
      <c r="D19" s="5" t="n"/>
    </row>
    <row r="20" ht="29.5" customHeight="1">
      <c r="A20" s="7" t="inlineStr">
        <is>
          <t>A16</t>
        </is>
      </c>
      <c r="B20" s="7" t="inlineStr">
        <is>
          <t>Image upload rule</t>
        </is>
      </c>
      <c r="C20" s="8" t="inlineStr">
        <is>
          <t>Product, logo, banner, review, return, chat and proof-of-delivery images: JPG or PNG only (checked by file content, not just the extension), maximum 5 MB each. A product has 1 to 9 images.</t>
        </is>
      </c>
      <c r="D20" s="5" t="n"/>
    </row>
    <row r="21" ht="29.5" customHeight="1">
      <c r="A21" s="7" t="inlineStr">
        <is>
          <t>A17</t>
        </is>
      </c>
      <c r="B21" s="7" t="inlineStr">
        <is>
          <t>Price and quantity rule</t>
        </is>
      </c>
      <c r="C21" s="8" t="inlineStr">
        <is>
          <t>Prices range from ₱1.00 to ₱1,000,000.00 with up to 2 decimal places. Stock and quantities are whole numbers from 0 to 99,999.</t>
        </is>
      </c>
      <c r="D21" s="5" t="n"/>
    </row>
    <row r="22" ht="42.25" customHeight="1">
      <c r="A22" s="7" t="inlineStr">
        <is>
          <t>A18</t>
        </is>
      </c>
      <c r="B22" s="7" t="inlineStr">
        <is>
          <t>Store vacation and verification</t>
        </is>
      </c>
      <c r="C22" s="8" t="inlineStr">
        <is>
          <t>In vacation mode, products stay visible but Add to Cart and Buy Now are disabled with an 'On vacation' label, and checkout of items already in carts is blocked. A seller that is not Approved can save products only as drafts and cannot publish.</t>
        </is>
      </c>
      <c r="D22" s="5" t="n"/>
    </row>
    <row r="23" ht="55" customHeight="1">
      <c r="A23" s="7" t="inlineStr">
        <is>
          <t>A19</t>
        </is>
      </c>
      <c r="B23" s="7" t="inlineStr">
        <is>
          <t>Deleting categories and products</t>
        </is>
      </c>
      <c r="C23" s="8" t="inlineStr">
        <is>
          <t>Deleting a store category that still has products moves those products to 'Uncategorized'. Deleting a parent category also deletes its subcategories. A product or a variant with unfinished orders cannot be deleted; other deletes are soft deletes, so order history still shows the product's name, image and price.</t>
        </is>
      </c>
      <c r="D23" s="5" t="n"/>
    </row>
    <row r="24" ht="42.25" customHeight="1">
      <c r="A24" s="7" t="inlineStr">
        <is>
          <t>A20</t>
        </is>
      </c>
      <c r="B24" s="7" t="inlineStr">
        <is>
          <t>Shipping fee</t>
        </is>
      </c>
      <c r="C24" s="8" t="inlineStr">
        <is>
          <t>Shipping is charged per store, using the rate table on the Test Data sheet. Chargeable weight is the total actual weight of that store's items in the order, rounded up to the next whole kg. Rate changes apply only to checkouts started after the change.</t>
        </is>
      </c>
      <c r="D24" s="5" t="n"/>
    </row>
    <row r="25" ht="29.5" customHeight="1">
      <c r="A25" s="7" t="inlineStr">
        <is>
          <t>A21</t>
        </is>
      </c>
      <c r="B25" s="7" t="inlineStr">
        <is>
          <t>Voucher return on cancellation</t>
        </is>
      </c>
      <c r="C25" s="8" t="inlineStr">
        <is>
          <t>A voucher used on a cancelled order is returned to the buyer's wallet if it has not yet expired, and its usage count is reduced by 1. A voucher is not returned for a refunded (returned) order.</t>
        </is>
      </c>
      <c r="D25" s="5" t="n"/>
    </row>
    <row r="26" ht="42.25" customHeight="1">
      <c r="A26" s="7" t="inlineStr">
        <is>
          <t>A22</t>
        </is>
      </c>
      <c r="B26" s="7" t="inlineStr">
        <is>
          <t>Session and access</t>
        </is>
      </c>
      <c r="C26" s="8" t="inlineStr">
        <is>
          <t>Each role can open only its own pages; other roles get 403 or a redirect, for both pages and direct API requests. Users can open only their own records (orders, products, shipments, riders). A session expires after 30 minutes of inactivity.</t>
        </is>
      </c>
      <c r="D26" s="5" t="n"/>
    </row>
    <row r="27" ht="29.5" customHeight="1">
      <c r="A27" s="7" t="inlineStr">
        <is>
          <t>A23</t>
        </is>
      </c>
      <c r="B27" s="7" t="inlineStr">
        <is>
          <t>Notifications</t>
        </is>
      </c>
      <c r="C27" s="8" t="inlineStr">
        <is>
          <t>Every order or shipment status change sends an in-app notification to each role involved, and to no one else. Emails use example.com and are read from the mail catcher.</t>
        </is>
      </c>
      <c r="D27" s="5" t="n"/>
    </row>
    <row r="28" ht="42.25" customHeight="1">
      <c r="A28" s="7" t="inlineStr">
        <is>
          <t>A24</t>
        </is>
      </c>
      <c r="B28" s="7" t="inlineStr">
        <is>
          <t>COD remittance</t>
        </is>
      </c>
      <c r="C28" s="8" t="inlineStr">
        <is>
          <t>Riders remit the full COD collected to their logistics company by the end of the day. Only the logistics company can confirm a remittance. Any difference between collected and remitted COD is flagged on the reconciliation screen.</t>
        </is>
      </c>
      <c r="D28" s="5" t="n"/>
    </row>
    <row r="29" ht="55" customHeight="1">
      <c r="A29" s="7" t="inlineStr">
        <is>
          <t>A25</t>
        </is>
      </c>
      <c r="B29" s="7" t="inlineStr">
        <is>
          <t>Text field limits</t>
        </is>
      </c>
      <c r="C29" s="8" t="inlineStr">
        <is>
          <t>Store name 3–30 characters (unique, not case-sensitive, spaces trimmed). Store description up to 500. Store category name 1–50 (unique per store, not case-sensitive, trimmed). Product name 5–120. Product description 20–3,000. Note to seller up to 200. Chat message 1–1,000. Free-text reasons (cancel, reject, override, suspend) 10–300. HTML or script entered in any field is shown as plain text.</t>
        </is>
      </c>
      <c r="D29" s="5" t="n"/>
    </row>
    <row r="30" ht="29.5" customHeight="1">
      <c r="A30" s="7" t="inlineStr">
        <is>
          <t>A26</t>
        </is>
      </c>
      <c r="B30" s="7" t="inlineStr">
        <is>
          <t>Voucher code rule</t>
        </is>
      </c>
      <c r="C30" s="8" t="inlineStr">
        <is>
          <t>4 to 12 letters and digits, no spaces or symbols, saved in uppercase. Codes are unique across the whole platform. Buyers can type the code in any case.</t>
        </is>
      </c>
      <c r="D30" s="5" t="n"/>
    </row>
    <row r="31" ht="42.25" customHeight="1">
      <c r="A31" s="7" t="inlineStr">
        <is>
          <t>A27</t>
        </is>
      </c>
      <c r="B31" s="7" t="inlineStr">
        <is>
          <t>Editing vouchers after claim</t>
        </is>
      </c>
      <c r="C31" s="8" t="inlineStr">
        <is>
          <t>Once any buyer has claimed a voucher, the seller can only extend its end date or raise its usage limit; all other fields are locked. Ending a voucher removes it from the wallets of buyers who have not used it; orders already placed keep their discount.</t>
        </is>
      </c>
      <c r="D31" s="5" t="n"/>
    </row>
    <row r="32" ht="42.25" customHeight="1">
      <c r="A32" s="7" t="inlineStr">
        <is>
          <t>A28</t>
        </is>
      </c>
      <c r="B32" s="7" t="inlineStr">
        <is>
          <t>Store sales</t>
        </is>
      </c>
      <c r="C32" s="8" t="inlineStr">
        <is>
          <t>A product can be in only one store sale at a time; overlapping schedules are rejected. A running sale's discount can be edited and applies immediately to new orders; End Now ends it at once. Orders already placed keep the price paid.</t>
        </is>
      </c>
      <c r="D32" s="5" t="n"/>
    </row>
    <row r="33" ht="29.5" customHeight="1">
      <c r="A33" s="7" t="inlineStr">
        <is>
          <t>A29</t>
        </is>
      </c>
      <c r="B33" s="7" t="inlineStr">
        <is>
          <t>Low-stock alert</t>
        </is>
      </c>
      <c r="C33" s="8" t="inlineStr">
        <is>
          <t>An alert is shown when a product's or variant's stock reaches 5 or fewer, once per crossing (it does not repeat until stock goes above 5 and drops again).</t>
        </is>
      </c>
      <c r="D33" s="5" t="n"/>
    </row>
    <row r="34" ht="42.25" customHeight="1">
      <c r="A34" s="7" t="inlineStr">
        <is>
          <t>A30</t>
        </is>
      </c>
      <c r="B34" s="7" t="inlineStr">
        <is>
          <t>Address book</t>
        </is>
      </c>
      <c r="C34" s="8" t="inlineStr">
        <is>
          <t>Up to 10 addresses per buyer. The default address cannot be deleted until another address is made default. Orders keep a copy of the address at order time, so editing or deleting an address does not change existing orders.</t>
        </is>
      </c>
      <c r="D34" s="5" t="n"/>
    </row>
    <row r="35" ht="55" customHeight="1">
      <c r="A35" s="7" t="inlineStr">
        <is>
          <t>A31</t>
        </is>
      </c>
      <c r="B35" s="7" t="inlineStr">
        <is>
          <t>Return and refund requests</t>
        </is>
      </c>
      <c r="C35" s="8" t="inlineStr">
        <is>
          <t>Reason from the list, a description of 10–500 characters, and 1 to 5 photos (JPG or PNG, 5 MB each) are required. The seller must respond within 3 days or the request is auto-approved. A rejected request can be escalated to a dispute once, within 3 days. The refund goes to the original payment method; for COD orders, to the buyer's refund account.</t>
        </is>
      </c>
      <c r="D35" s="5" t="n"/>
    </row>
    <row r="36" ht="42.25" customHeight="1">
      <c r="A36" s="7" t="inlineStr">
        <is>
          <t>A32</t>
        </is>
      </c>
      <c r="B36" s="7" t="inlineStr">
        <is>
          <t>Proof of delivery</t>
        </is>
      </c>
      <c r="C36" s="8" t="inlineStr">
        <is>
          <t>Delivered needs a photo (JPG or PNG) and the 6-digit delivery OTP shown in the buyer's app once the parcel is Out for Delivery. After 5 wrong OTP entries, OTP entry on that job is locked for 15 minutes.</t>
        </is>
      </c>
      <c r="D36" s="5" t="n"/>
    </row>
    <row r="37" ht="29.5" customHeight="1">
      <c r="A37" s="7" t="inlineStr">
        <is>
          <t>A33</t>
        </is>
      </c>
      <c r="B37" s="7" t="inlineStr">
        <is>
          <t>Rider pay</t>
        </is>
      </c>
      <c r="C37" s="8" t="inlineStr">
        <is>
          <t>₱50.00 per successful delivery, ₱30.00 per completed pickup, ₱0.00 for a failed attempt. Pay is not reduced by COD.</t>
        </is>
      </c>
      <c r="D37" s="5" t="n"/>
    </row>
    <row r="38" ht="55" customHeight="1">
      <c r="A38" s="7" t="inlineStr">
        <is>
          <t>A34</t>
        </is>
      </c>
      <c r="B38" s="7" t="inlineStr">
        <is>
          <t>Dispatch and reassignment</t>
        </is>
      </c>
      <c r="C38" s="8" t="inlineStr">
        <is>
          <t>Auto-assign offers a job to the nearest Online, Active rider of the same company with fewer than 3 active jobs. Logistics can reassign a job only before it is Picked Up. Suspending a rider returns their not-yet-picked-up jobs to the Unassigned queue; parcels already picked up stay with that rider.</t>
        </is>
      </c>
      <c r="D38" s="5" t="n"/>
    </row>
    <row r="39" ht="42.25" customHeight="1">
      <c r="A39" s="7" t="inlineStr">
        <is>
          <t>A35</t>
        </is>
      </c>
      <c r="B39" s="7" t="inlineStr">
        <is>
          <t>Audit log</t>
        </is>
      </c>
      <c r="C39" s="8" t="inlineStr">
        <is>
          <t>Every manual status override, rider approval or suspension, rate change and remittance confirmation is logged with user, date and time, old value, new value and reason. Log entries cannot be edited or deleted from the UI.</t>
        </is>
      </c>
      <c r="D39" s="5" t="n"/>
    </row>
    <row r="40" ht="29.5" customHeight="1">
      <c r="A40" s="7" t="inlineStr">
        <is>
          <t>A36</t>
        </is>
      </c>
      <c r="B40" s="7" t="inlineStr">
        <is>
          <t>Report export</t>
        </is>
      </c>
      <c r="C40" s="8" t="inlineStr">
        <is>
          <t>Reports export as CSV and XLSX. Exported rows and totals equal the on-screen rows and totals for the same filter.</t>
        </is>
      </c>
      <c r="D40" s="5" t="n"/>
    </row>
    <row r="41" ht="42.25" customHeight="1">
      <c r="A41" s="7" t="inlineStr">
        <is>
          <t>A37</t>
        </is>
      </c>
      <c r="B41" s="7" t="inlineStr">
        <is>
          <t>Duplicate submissions</t>
        </is>
      </c>
      <c r="C41" s="8" t="inlineStr">
        <is>
          <t>Every create or submit action (Publish, Place Order, Pay, Request Payout, Accept job, Remit, Confirm) is idempotent: double-clicking, pressing Enter twice, refreshing or pressing Back and resubmitting never creates a second record or a second charge.</t>
        </is>
      </c>
      <c r="D41" s="5" t="n"/>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cols>
    <col width="12" customWidth="1" min="1" max="1"/>
    <col width="30" customWidth="1" min="2" max="2"/>
    <col width="40" customWidth="1" min="3" max="3"/>
    <col width="40" customWidth="1" min="4" max="4"/>
    <col width="22" customWidth="1" min="5" max="5"/>
    <col width="44" customWidth="1" min="6" max="6"/>
  </cols>
  <sheetData>
    <row r="1">
      <c r="A1" s="1" t="inlineStr">
        <is>
          <t>Test data</t>
        </is>
      </c>
    </row>
    <row r="2" ht="30" customHeight="1">
      <c r="A2" s="11" t="inlineStr">
        <is>
          <t>Shared by all five module workbooks. All people, stores, numbers and addresses are fictional. Seed these products, vouchers and rates before testing, or replace them with your own and update the Test Data column on the module sheets.</t>
        </is>
      </c>
    </row>
    <row r="4">
      <c r="A4" s="3" t="inlineStr">
        <is>
          <t>Accounts (created in the Account Creation test set)</t>
        </is>
      </c>
    </row>
    <row r="5">
      <c r="A5" s="6" t="inlineStr">
        <is>
          <t>Ref</t>
        </is>
      </c>
      <c r="B5" s="6" t="inlineStr">
        <is>
          <t>Role</t>
        </is>
      </c>
      <c r="C5" s="6" t="inlineStr">
        <is>
          <t>Name / store</t>
        </is>
      </c>
      <c r="D5" s="6" t="inlineStr">
        <is>
          <t>Login email</t>
        </is>
      </c>
      <c r="E5" s="6" t="inlineStr">
        <is>
          <t>Password</t>
        </is>
      </c>
      <c r="F5" s="6" t="inlineStr">
        <is>
          <t>Status / notes</t>
        </is>
      </c>
    </row>
    <row r="6" ht="16.75" customHeight="1">
      <c r="A6" s="4" t="inlineStr">
        <is>
          <t>Buyer 1</t>
        </is>
      </c>
      <c r="B6" s="8" t="inlineStr">
        <is>
          <t>Buyer</t>
        </is>
      </c>
      <c r="C6" s="8" t="inlineStr">
        <is>
          <t>Juan Miguel Dela Cruz</t>
        </is>
      </c>
      <c r="D6" s="8" t="inlineStr">
        <is>
          <t>juanmiguel.delacruz@example.com</t>
        </is>
      </c>
      <c r="E6" s="8" t="inlineStr">
        <is>
          <t>Mamimili@2026</t>
        </is>
      </c>
      <c r="F6" s="8" t="inlineStr">
        <is>
          <t>Active. Main buyer.</t>
        </is>
      </c>
    </row>
    <row r="7" ht="29.5" customHeight="1">
      <c r="A7" s="4" t="inlineStr">
        <is>
          <t>Buyer 2</t>
        </is>
      </c>
      <c r="B7" s="8" t="inlineStr">
        <is>
          <t>Buyer</t>
        </is>
      </c>
      <c r="C7" s="8" t="inlineStr">
        <is>
          <t>Ana Marie Reyes</t>
        </is>
      </c>
      <c r="D7" s="8" t="inlineStr">
        <is>
          <t>anamarie.reyes@example.com</t>
        </is>
      </c>
      <c r="E7" s="8" t="inlineStr">
        <is>
          <t>Suki#2026Ana</t>
        </is>
      </c>
      <c r="F7" s="8" t="inlineStr">
        <is>
          <t>Active. Second buyer for concurrency and access tests.</t>
        </is>
      </c>
    </row>
    <row r="8" ht="29.5" customHeight="1">
      <c r="A8" s="4" t="inlineStr">
        <is>
          <t>Seller 1</t>
        </is>
      </c>
      <c r="B8" s="8" t="inlineStr">
        <is>
          <t>Seller</t>
        </is>
      </c>
      <c r="C8" s="8" t="inlineStr">
        <is>
          <t>Maria Clara Handicrafts (Maria Clara Santos)</t>
        </is>
      </c>
      <c r="D8" s="8" t="inlineStr">
        <is>
          <t>mariaclara.santos@example.com</t>
        </is>
      </c>
      <c r="E8" s="8" t="inlineStr">
        <is>
          <t>Tindahan@2026</t>
        </is>
      </c>
      <c r="F8" s="8" t="inlineStr">
        <is>
          <t>Approved. Pickup: Commonwealth, Quezon City (NCR). Main seller.</t>
        </is>
      </c>
    </row>
    <row r="9" ht="16.75" customHeight="1">
      <c r="A9" s="4" t="inlineStr">
        <is>
          <t>Seller 2</t>
        </is>
      </c>
      <c r="B9" s="8" t="inlineStr">
        <is>
          <t>Seller</t>
        </is>
      </c>
      <c r="C9" s="8" t="inlineStr">
        <is>
          <t>RV Gadget Hub (Roberto Villanueva)</t>
        </is>
      </c>
      <c r="D9" s="8" t="inlineStr">
        <is>
          <t>roberto.villanueva@example.com</t>
        </is>
      </c>
      <c r="E9" s="8" t="inlineStr">
        <is>
          <t>Gadget#Hub26</t>
        </is>
      </c>
      <c r="F9" s="8" t="inlineStr">
        <is>
          <t>Approved. Pickup: Lahug, Cebu City (Visayas).</t>
        </is>
      </c>
    </row>
    <row r="10" ht="29.5" customHeight="1">
      <c r="A10" s="4" t="inlineStr">
        <is>
          <t>Seller 3</t>
        </is>
      </c>
      <c r="B10" s="8" t="inlineStr">
        <is>
          <t>Seller</t>
        </is>
      </c>
      <c r="C10" s="8" t="inlineStr">
        <is>
          <t>Tindahan ni Lola (test)</t>
        </is>
      </c>
      <c r="D10" s="8" t="inlineStr">
        <is>
          <t>seller.test01@example.com</t>
        </is>
      </c>
      <c r="E10" s="8" t="inlineStr">
        <is>
          <t>Tindahan@2026</t>
        </is>
      </c>
      <c r="F10" s="8" t="inlineStr">
        <is>
          <t>Pending Approval. For the unverified-seller cases.</t>
        </is>
      </c>
    </row>
    <row r="11" ht="29.5" customHeight="1">
      <c r="A11" s="4" t="inlineStr">
        <is>
          <t>Logistics 1</t>
        </is>
      </c>
      <c r="B11" s="8" t="inlineStr">
        <is>
          <t>Logistics</t>
        </is>
      </c>
      <c r="C11" s="8" t="inlineStr">
        <is>
          <t>Bilis Hatid Express Inc. (Carlos Antonio Mendoza)</t>
        </is>
      </c>
      <c r="D11" s="8" t="inlineStr">
        <is>
          <t>operations@bilishatid.example.com</t>
        </is>
      </c>
      <c r="E11" s="8" t="inlineStr">
        <is>
          <t>Hatid@2026</t>
        </is>
      </c>
      <c r="F11" s="8" t="inlineStr">
        <is>
          <t>Approved. Serves NCR and CALABARZON. Main logistics account.</t>
        </is>
      </c>
    </row>
    <row r="12" ht="29.5" customHeight="1">
      <c r="A12" s="4" t="inlineStr">
        <is>
          <t>Logistics 2</t>
        </is>
      </c>
      <c r="B12" s="8" t="inlineStr">
        <is>
          <t>Logistics</t>
        </is>
      </c>
      <c r="C12" s="8" t="inlineStr">
        <is>
          <t>Agila Cargo Movers Corp. (Liza Mae Fernandez)</t>
        </is>
      </c>
      <c r="D12" s="8" t="inlineStr">
        <is>
          <t>admin@agilacargo.example.com</t>
        </is>
      </c>
      <c r="E12" s="8" t="inlineStr">
        <is>
          <t>Agila#Cargo26</t>
        </is>
      </c>
      <c r="F12" s="8" t="inlineStr">
        <is>
          <t>Approved. Serves Davao. Used for cross-company access tests.</t>
        </is>
      </c>
    </row>
    <row r="13" ht="16.75" customHeight="1">
      <c r="A13" s="4" t="inlineStr">
        <is>
          <t>Rider 1</t>
        </is>
      </c>
      <c r="B13" s="8" t="inlineStr">
        <is>
          <t>Rider</t>
        </is>
      </c>
      <c r="C13" s="8" t="inlineStr">
        <is>
          <t>Pedro Jose Garcia (Motorcycle, 123ABC)</t>
        </is>
      </c>
      <c r="D13" s="8" t="inlineStr">
        <is>
          <t>pedrojose.garcia@example.com</t>
        </is>
      </c>
      <c r="E13" s="8" t="inlineStr">
        <is>
          <t>Rider@2026</t>
        </is>
      </c>
      <c r="F13" s="8" t="inlineStr">
        <is>
          <t>Active, under Logistics 1. Main rider.</t>
        </is>
      </c>
    </row>
    <row r="14" ht="29.5" customHeight="1">
      <c r="A14" s="4" t="inlineStr">
        <is>
          <t>Rider 2</t>
        </is>
      </c>
      <c r="B14" s="8" t="inlineStr">
        <is>
          <t>Rider</t>
        </is>
      </c>
      <c r="C14" s="8" t="inlineStr">
        <is>
          <t>Mark Anthony Bautista (Van, NBC1234)</t>
        </is>
      </c>
      <c r="D14" s="8" t="inlineStr">
        <is>
          <t>markanthony.bautista@example.com</t>
        </is>
      </c>
      <c r="E14" s="8" t="inlineStr">
        <is>
          <t>Hatid#Mark26</t>
        </is>
      </c>
      <c r="F14" s="8" t="inlineStr">
        <is>
          <t>Active, under Logistics 1. Second rider for concurrency tests.</t>
        </is>
      </c>
    </row>
    <row r="15" ht="29.5" customHeight="1">
      <c r="A15" s="4" t="inlineStr">
        <is>
          <t>Rider 3</t>
        </is>
      </c>
      <c r="B15" s="8" t="inlineStr">
        <is>
          <t>Rider</t>
        </is>
      </c>
      <c r="C15" s="8" t="inlineStr">
        <is>
          <t>Ramon Cruz (Motorcycle, 456DEF)</t>
        </is>
      </c>
      <c r="D15" s="8" t="inlineStr">
        <is>
          <t>rider.test01@example.com</t>
        </is>
      </c>
      <c r="E15" s="8" t="inlineStr">
        <is>
          <t>Rider@2026</t>
        </is>
      </c>
      <c r="F15" s="8" t="inlineStr">
        <is>
          <t>Suspended by Logistics 1. For blocked-rider cases.</t>
        </is>
      </c>
    </row>
    <row r="16" ht="29.5" customHeight="1">
      <c r="A16" s="4" t="inlineStr">
        <is>
          <t>Admin</t>
        </is>
      </c>
      <c r="B16" s="8" t="inlineStr">
        <is>
          <t>Admin</t>
        </is>
      </c>
      <c r="C16" s="8" t="inlineStr">
        <is>
          <t>Seeded admin</t>
        </is>
      </c>
      <c r="D16" s="8" t="inlineStr">
        <is>
          <t>Use the admin account already seeded in your system</t>
        </is>
      </c>
      <c r="E16" s="8" t="inlineStr"/>
      <c r="F16" s="8" t="inlineStr">
        <is>
          <t>Creates platform vouchers PLAT100 and FREESHIP.</t>
        </is>
      </c>
    </row>
    <row r="18">
      <c r="A18" s="3" t="inlineStr">
        <is>
          <t>Buyer addresses</t>
        </is>
      </c>
    </row>
    <row r="19">
      <c r="A19" s="6" t="inlineStr">
        <is>
          <t>Ref</t>
        </is>
      </c>
      <c r="B19" s="6" t="inlineStr">
        <is>
          <t>Owner</t>
        </is>
      </c>
      <c r="C19" s="6" t="inlineStr">
        <is>
          <t>Label</t>
        </is>
      </c>
      <c r="D19" s="6" t="inlineStr">
        <is>
          <t>Address</t>
        </is>
      </c>
      <c r="E19" s="6" t="inlineStr">
        <is>
          <t>Recipient / phone</t>
        </is>
      </c>
      <c r="F19" s="6" t="inlineStr">
        <is>
          <t>Notes</t>
        </is>
      </c>
    </row>
    <row r="20" ht="29.5" customHeight="1">
      <c r="A20" s="4" t="inlineStr">
        <is>
          <t>ADDR-1</t>
        </is>
      </c>
      <c r="B20" s="8" t="inlineStr">
        <is>
          <t>Buyer 1</t>
        </is>
      </c>
      <c r="C20" s="8" t="inlineStr">
        <is>
          <t>Home (default)</t>
        </is>
      </c>
      <c r="D20" s="8" t="inlineStr">
        <is>
          <t>45 Kalayaan Ave., Brgy. Central, Quezon City, Metro Manila, NCR 1100</t>
        </is>
      </c>
      <c r="E20" s="8" t="inlineStr">
        <is>
          <t>Juan Miguel Dela Cruz / 09171234567</t>
        </is>
      </c>
      <c r="F20" s="8" t="inlineStr">
        <is>
          <t>Zone NCR</t>
        </is>
      </c>
    </row>
    <row r="21" ht="42.25" customHeight="1">
      <c r="A21" s="4" t="inlineStr">
        <is>
          <t>ADDR-2</t>
        </is>
      </c>
      <c r="B21" s="8" t="inlineStr">
        <is>
          <t>Buyer 1</t>
        </is>
      </c>
      <c r="C21" s="8" t="inlineStr">
        <is>
          <t>Office</t>
        </is>
      </c>
      <c r="D21" s="8" t="inlineStr">
        <is>
          <t>12F Pacific Tower, 6750 Ayala Ave., Brgy. San Lorenzo, Makati City, Metro Manila, NCR 1223</t>
        </is>
      </c>
      <c r="E21" s="8" t="inlineStr">
        <is>
          <t>Juan Miguel Dela Cruz / 09171234567</t>
        </is>
      </c>
      <c r="F21" s="8" t="inlineStr">
        <is>
          <t>Zone NCR</t>
        </is>
      </c>
    </row>
    <row r="22" ht="29.5" customHeight="1">
      <c r="A22" s="4" t="inlineStr">
        <is>
          <t>ADDR-3</t>
        </is>
      </c>
      <c r="B22" s="8" t="inlineStr">
        <is>
          <t>Buyer 2</t>
        </is>
      </c>
      <c r="C22" s="8" t="inlineStr">
        <is>
          <t>Home (default)</t>
        </is>
      </c>
      <c r="D22" s="8" t="inlineStr">
        <is>
          <t>78 Osmeña Blvd., Brgy. Capitol Site, Cebu City, Cebu, Region VII 6000</t>
        </is>
      </c>
      <c r="E22" s="8" t="inlineStr">
        <is>
          <t>Ana Marie Reyes / 09173456789</t>
        </is>
      </c>
      <c r="F22" s="8" t="inlineStr">
        <is>
          <t>Zone Visayas</t>
        </is>
      </c>
    </row>
    <row r="23" ht="29.5" customHeight="1">
      <c r="A23" s="4" t="inlineStr">
        <is>
          <t>ADDR-4</t>
        </is>
      </c>
      <c r="B23" s="8" t="inlineStr">
        <is>
          <t>Buyer 1</t>
        </is>
      </c>
      <c r="C23" s="8" t="inlineStr">
        <is>
          <t>Province</t>
        </is>
      </c>
      <c r="D23" s="8" t="inlineStr">
        <is>
          <t>Purok 2, Brgy. Raele, Itbayat, Batanes, Region II 3905</t>
        </is>
      </c>
      <c r="E23" s="8" t="inlineStr">
        <is>
          <t>Juan Miguel Dela Cruz / 09171234567</t>
        </is>
      </c>
      <c r="F23" s="8" t="inlineStr">
        <is>
          <t>Unserviceable area (no logistics zone covers it)</t>
        </is>
      </c>
    </row>
    <row r="25">
      <c r="A25" s="3" t="inlineStr">
        <is>
          <t>Store categories (Seller 1)</t>
        </is>
      </c>
    </row>
    <row r="26">
      <c r="A26" s="6" t="inlineStr">
        <is>
          <t>Ref</t>
        </is>
      </c>
      <c r="B26" s="6" t="inlineStr">
        <is>
          <t>Category</t>
        </is>
      </c>
      <c r="C26" s="6" t="inlineStr">
        <is>
          <t>Parent</t>
        </is>
      </c>
      <c r="D26" s="6" t="inlineStr">
        <is>
          <t>Visible</t>
        </is>
      </c>
      <c r="E26" s="6" t="inlineStr">
        <is>
          <t>Products</t>
        </is>
      </c>
      <c r="F26" s="6" t="inlineStr">
        <is>
          <t>Notes</t>
        </is>
      </c>
    </row>
    <row r="27" ht="16.75" customHeight="1">
      <c r="A27" s="4" t="inlineStr">
        <is>
          <t>CAT-1</t>
        </is>
      </c>
      <c r="B27" s="8" t="inlineStr">
        <is>
          <t>Bags</t>
        </is>
      </c>
      <c r="C27" s="8" t="inlineStr"/>
      <c r="D27" s="8" t="inlineStr">
        <is>
          <t>Yes</t>
        </is>
      </c>
      <c r="E27" s="8" t="inlineStr">
        <is>
          <t>P-01</t>
        </is>
      </c>
      <c r="F27" s="8" t="inlineStr"/>
    </row>
    <row r="28" ht="16.75" customHeight="1">
      <c r="A28" s="4" t="inlineStr">
        <is>
          <t>CAT-2</t>
        </is>
      </c>
      <c r="B28" s="8" t="inlineStr">
        <is>
          <t>Home Decor</t>
        </is>
      </c>
      <c r="C28" s="8" t="inlineStr"/>
      <c r="D28" s="8" t="inlineStr">
        <is>
          <t>Yes</t>
        </is>
      </c>
      <c r="E28" s="8" t="inlineStr"/>
      <c r="F28" s="8" t="inlineStr">
        <is>
          <t>Parent category</t>
        </is>
      </c>
    </row>
    <row r="29" ht="16.75" customHeight="1">
      <c r="A29" s="4" t="inlineStr">
        <is>
          <t>CAT-3</t>
        </is>
      </c>
      <c r="B29" s="8" t="inlineStr">
        <is>
          <t>Lamps</t>
        </is>
      </c>
      <c r="C29" s="8" t="inlineStr">
        <is>
          <t>Home Decor</t>
        </is>
      </c>
      <c r="D29" s="8" t="inlineStr">
        <is>
          <t>Yes</t>
        </is>
      </c>
      <c r="E29" s="8" t="inlineStr">
        <is>
          <t>P-03</t>
        </is>
      </c>
      <c r="F29" s="8" t="inlineStr">
        <is>
          <t>Subcategory (level 2)</t>
        </is>
      </c>
    </row>
    <row r="30" ht="16.75" customHeight="1">
      <c r="A30" s="4" t="inlineStr">
        <is>
          <t>CAT-4</t>
        </is>
      </c>
      <c r="B30" s="8" t="inlineStr">
        <is>
          <t>Baskets</t>
        </is>
      </c>
      <c r="C30" s="8" t="inlineStr">
        <is>
          <t>Home Decor</t>
        </is>
      </c>
      <c r="D30" s="8" t="inlineStr">
        <is>
          <t>Yes</t>
        </is>
      </c>
      <c r="E30" s="8" t="inlineStr">
        <is>
          <t>P-02</t>
        </is>
      </c>
      <c r="F30" s="8" t="inlineStr">
        <is>
          <t>Subcategory (level 2)</t>
        </is>
      </c>
    </row>
    <row r="31" ht="16.75" customHeight="1">
      <c r="A31" s="4" t="inlineStr">
        <is>
          <t>CAT-5</t>
        </is>
      </c>
      <c r="B31" s="8" t="inlineStr">
        <is>
          <t>Kitchen &amp; Dining</t>
        </is>
      </c>
      <c r="C31" s="8" t="inlineStr"/>
      <c r="D31" s="8" t="inlineStr">
        <is>
          <t>Yes</t>
        </is>
      </c>
      <c r="E31" s="8" t="inlineStr">
        <is>
          <t>P-04</t>
        </is>
      </c>
      <c r="F31" s="8" t="inlineStr"/>
    </row>
    <row r="33">
      <c r="A33" s="3" t="inlineStr">
        <is>
          <t>Products</t>
        </is>
      </c>
    </row>
    <row r="34">
      <c r="A34" s="6" t="inlineStr">
        <is>
          <t>Ref</t>
        </is>
      </c>
      <c r="B34" s="6" t="inlineStr">
        <is>
          <t>Seller</t>
        </is>
      </c>
      <c r="C34" s="6" t="inlineStr">
        <is>
          <t>Product</t>
        </is>
      </c>
      <c r="D34" s="6" t="inlineStr">
        <is>
          <t>Price / variants</t>
        </is>
      </c>
      <c r="E34" s="6" t="inlineStr">
        <is>
          <t>Stock</t>
        </is>
      </c>
      <c r="F34" s="6" t="inlineStr">
        <is>
          <t>Weight and size / other</t>
        </is>
      </c>
    </row>
    <row r="35" ht="55" customHeight="1">
      <c r="A35" s="4" t="inlineStr">
        <is>
          <t>P-01</t>
        </is>
      </c>
      <c r="B35" s="8" t="inlineStr">
        <is>
          <t>Seller 1</t>
        </is>
      </c>
      <c r="C35" s="8" t="inlineStr">
        <is>
          <t>Abaca Woven Tote Bag</t>
        </is>
      </c>
      <c r="D35" s="8" t="inlineStr">
        <is>
          <t>Color: Natural, Black × Size: S ₱199, M ₱249, L ₱299 (6 variants). SKU MCH-TOTE-&lt;COLOR&gt;-&lt;SIZE&gt;</t>
        </is>
      </c>
      <c r="E35" s="8" t="inlineStr">
        <is>
          <t>Natural-S 10, Natural-M 8, Natural-L 5, Black-S 10, Black-M 0, Black-L 3</t>
        </is>
      </c>
      <c r="F35" s="8" t="inlineStr">
        <is>
          <t>0.4 kg; 40 × 35 × 5 cm. Platform category: Women's Bags</t>
        </is>
      </c>
    </row>
    <row r="36" ht="29.5" customHeight="1">
      <c r="A36" s="4" t="inlineStr">
        <is>
          <t>P-02</t>
        </is>
      </c>
      <c r="B36" s="8" t="inlineStr">
        <is>
          <t>Seller 1</t>
        </is>
      </c>
      <c r="C36" s="8" t="inlineStr">
        <is>
          <t>Rattan Fruit Basket</t>
        </is>
      </c>
      <c r="D36" s="8" t="inlineStr">
        <is>
          <t>₱450.00 (no variants)</t>
        </is>
      </c>
      <c r="E36" s="8" t="inlineStr">
        <is>
          <t>20</t>
        </is>
      </c>
      <c r="F36" s="8" t="inlineStr">
        <is>
          <t>0.8 kg; 30 × 30 × 15 cm. Platform category: Home &amp; Living</t>
        </is>
      </c>
    </row>
    <row r="37" ht="29.5" customHeight="1">
      <c r="A37" s="4" t="inlineStr">
        <is>
          <t>P-03</t>
        </is>
      </c>
      <c r="B37" s="8" t="inlineStr">
        <is>
          <t>Seller 1</t>
        </is>
      </c>
      <c r="C37" s="8" t="inlineStr">
        <is>
          <t>Capiz Shell Lamp</t>
        </is>
      </c>
      <c r="D37" s="8" t="inlineStr">
        <is>
          <t>₱1,250.00</t>
        </is>
      </c>
      <c r="E37" s="8" t="inlineStr">
        <is>
          <t>1 (for the oversell case)</t>
        </is>
      </c>
      <c r="F37" s="8" t="inlineStr">
        <is>
          <t>1.5 kg; 30 × 30 × 40 cm</t>
        </is>
      </c>
    </row>
    <row r="38" ht="16.75" customHeight="1">
      <c r="A38" s="4" t="inlineStr">
        <is>
          <t>P-04</t>
        </is>
      </c>
      <c r="B38" s="8" t="inlineStr">
        <is>
          <t>Seller 1</t>
        </is>
      </c>
      <c r="C38" s="8" t="inlineStr">
        <is>
          <t>Banig Placemat Set of 4</t>
        </is>
      </c>
      <c r="D38" s="8" t="inlineStr">
        <is>
          <t>₱350.00</t>
        </is>
      </c>
      <c r="E38" s="8" t="inlineStr">
        <is>
          <t>0 (out of stock)</t>
        </is>
      </c>
      <c r="F38" s="8" t="inlineStr">
        <is>
          <t>0.5 kg</t>
        </is>
      </c>
    </row>
    <row r="39" ht="16.75" customHeight="1">
      <c r="A39" s="4" t="inlineStr">
        <is>
          <t>P-05</t>
        </is>
      </c>
      <c r="B39" s="8" t="inlineStr">
        <is>
          <t>Seller 2</t>
        </is>
      </c>
      <c r="C39" s="8" t="inlineStr">
        <is>
          <t>USB-C Fast Charger 20W</t>
        </is>
      </c>
      <c r="D39" s="8" t="inlineStr">
        <is>
          <t>₱399.00</t>
        </is>
      </c>
      <c r="E39" s="8" t="inlineStr">
        <is>
          <t>50</t>
        </is>
      </c>
      <c r="F39" s="8" t="inlineStr">
        <is>
          <t>0.2 kg; 10 × 8 × 5 cm</t>
        </is>
      </c>
    </row>
    <row r="40" ht="16.75" customHeight="1">
      <c r="A40" s="4" t="inlineStr">
        <is>
          <t>P-06</t>
        </is>
      </c>
      <c r="B40" s="8" t="inlineStr">
        <is>
          <t>Seller 2</t>
        </is>
      </c>
      <c r="C40" s="8" t="inlineStr">
        <is>
          <t>Wireless Earbuds X2</t>
        </is>
      </c>
      <c r="D40" s="8" t="inlineStr">
        <is>
          <t>Color: Black, White; ₱1,499.00 each</t>
        </is>
      </c>
      <c r="E40" s="8" t="inlineStr">
        <is>
          <t>Black 10, White 10</t>
        </is>
      </c>
      <c r="F40" s="8" t="inlineStr">
        <is>
          <t>0.3 kg</t>
        </is>
      </c>
    </row>
    <row r="41" ht="16.75" customHeight="1">
      <c r="A41" s="4" t="inlineStr">
        <is>
          <t>P-07</t>
        </is>
      </c>
      <c r="B41" s="8" t="inlineStr">
        <is>
          <t>Seller 2</t>
        </is>
      </c>
      <c r="C41" s="8" t="inlineStr">
        <is>
          <t>Power Bank 10000mAh</t>
        </is>
      </c>
      <c r="D41" s="8" t="inlineStr">
        <is>
          <t>₱899.00; per-buyer purchase limit 2</t>
        </is>
      </c>
      <c r="E41" s="8" t="inlineStr">
        <is>
          <t>5</t>
        </is>
      </c>
      <c r="F41" s="8" t="inlineStr">
        <is>
          <t>0.4 kg</t>
        </is>
      </c>
    </row>
    <row r="43">
      <c r="A43" s="3" t="inlineStr">
        <is>
          <t>Vouchers</t>
        </is>
      </c>
    </row>
    <row r="44">
      <c r="A44" s="6" t="inlineStr">
        <is>
          <t>Code</t>
        </is>
      </c>
      <c r="B44" s="6" t="inlineStr">
        <is>
          <t>Owner / funded by</t>
        </is>
      </c>
      <c r="C44" s="6" t="inlineStr">
        <is>
          <t>Type</t>
        </is>
      </c>
      <c r="D44" s="6" t="inlineStr">
        <is>
          <t>Rule</t>
        </is>
      </c>
      <c r="E44" s="6" t="inlineStr">
        <is>
          <t>Limits / validity</t>
        </is>
      </c>
      <c r="F44" s="6" t="inlineStr">
        <is>
          <t>Display</t>
        </is>
      </c>
    </row>
    <row r="45" ht="29.5" customHeight="1">
      <c r="A45" s="4" t="inlineStr">
        <is>
          <t>MCH50</t>
        </is>
      </c>
      <c r="B45" s="8" t="inlineStr">
        <is>
          <t>Seller 1 / seller</t>
        </is>
      </c>
      <c r="C45" s="8" t="inlineStr">
        <is>
          <t>Fixed ₱50 off</t>
        </is>
      </c>
      <c r="D45" s="8" t="inlineStr">
        <is>
          <t>Min spend ₱300; all Seller 1 products</t>
        </is>
      </c>
      <c r="E45" s="8" t="inlineStr">
        <is>
          <t>100 total, 1 per buyer; valid this month</t>
        </is>
      </c>
      <c r="F45" s="8" t="inlineStr">
        <is>
          <t>Claimable</t>
        </is>
      </c>
    </row>
    <row r="46" ht="29.5" customHeight="1">
      <c r="A46" s="4" t="inlineStr">
        <is>
          <t>MCH10</t>
        </is>
      </c>
      <c r="B46" s="8" t="inlineStr">
        <is>
          <t>Seller 1 / seller</t>
        </is>
      </c>
      <c r="C46" s="8" t="inlineStr">
        <is>
          <t>10% off, cap ₱100</t>
        </is>
      </c>
      <c r="D46" s="8" t="inlineStr">
        <is>
          <t>Min spend ₱500</t>
        </is>
      </c>
      <c r="E46" s="8" t="inlineStr">
        <is>
          <t>50 total, 1 per buyer; valid this month</t>
        </is>
      </c>
      <c r="F46" s="8" t="inlineStr">
        <is>
          <t>Claimable</t>
        </is>
      </c>
    </row>
    <row r="47" ht="16.75" customHeight="1">
      <c r="A47" s="4" t="inlineStr">
        <is>
          <t>RVSECRET</t>
        </is>
      </c>
      <c r="B47" s="8" t="inlineStr">
        <is>
          <t>Seller 2 / seller</t>
        </is>
      </c>
      <c r="C47" s="8" t="inlineStr">
        <is>
          <t>Fixed ₱100 off</t>
        </is>
      </c>
      <c r="D47" s="8" t="inlineStr">
        <is>
          <t>Min spend ₱1,000</t>
        </is>
      </c>
      <c r="E47" s="8" t="inlineStr">
        <is>
          <t>20 total, 1 per buyer</t>
        </is>
      </c>
      <c r="F47" s="8" t="inlineStr">
        <is>
          <t>Code-only (hidden)</t>
        </is>
      </c>
    </row>
    <row r="48" ht="16.75" customHeight="1">
      <c r="A48" s="4" t="inlineStr">
        <is>
          <t>MCHOLD</t>
        </is>
      </c>
      <c r="B48" s="8" t="inlineStr">
        <is>
          <t>Seller 1 / seller</t>
        </is>
      </c>
      <c r="C48" s="8" t="inlineStr">
        <is>
          <t>Fixed ₱30 off</t>
        </is>
      </c>
      <c r="D48" s="8" t="inlineStr">
        <is>
          <t>Min spend ₱200</t>
        </is>
      </c>
      <c r="E48" s="8" t="inlineStr">
        <is>
          <t>Expired yesterday</t>
        </is>
      </c>
      <c r="F48" s="8" t="inlineStr">
        <is>
          <t>Claimable</t>
        </is>
      </c>
    </row>
    <row r="49" ht="16.75" customHeight="1">
      <c r="A49" s="4" t="inlineStr">
        <is>
          <t>MCHSOON</t>
        </is>
      </c>
      <c r="B49" s="8" t="inlineStr">
        <is>
          <t>Seller 1 / seller</t>
        </is>
      </c>
      <c r="C49" s="8" t="inlineStr">
        <is>
          <t>Fixed ₱30 off</t>
        </is>
      </c>
      <c r="D49" s="8" t="inlineStr">
        <is>
          <t>Min spend ₱200</t>
        </is>
      </c>
      <c r="E49" s="8" t="inlineStr">
        <is>
          <t>Starts tomorrow</t>
        </is>
      </c>
      <c r="F49" s="8" t="inlineStr">
        <is>
          <t>Claimable</t>
        </is>
      </c>
    </row>
    <row r="50" ht="29.5" customHeight="1">
      <c r="A50" s="4" t="inlineStr">
        <is>
          <t>MCHMAX</t>
        </is>
      </c>
      <c r="B50" s="8" t="inlineStr">
        <is>
          <t>Seller 1 / seller</t>
        </is>
      </c>
      <c r="C50" s="8" t="inlineStr">
        <is>
          <t>Fixed ₱20 off</t>
        </is>
      </c>
      <c r="D50" s="8" t="inlineStr">
        <is>
          <t>Min spend ₱100</t>
        </is>
      </c>
      <c r="E50" s="8" t="inlineStr">
        <is>
          <t>Total usage limit 1, already used by Buyer 2</t>
        </is>
      </c>
      <c r="F50" s="8" t="inlineStr">
        <is>
          <t>Claimable</t>
        </is>
      </c>
    </row>
    <row r="51" ht="16.75" customHeight="1">
      <c r="A51" s="4" t="inlineStr">
        <is>
          <t>PLAT100</t>
        </is>
      </c>
      <c r="B51" s="8" t="inlineStr">
        <is>
          <t>Admin / platform</t>
        </is>
      </c>
      <c r="C51" s="8" t="inlineStr">
        <is>
          <t>Fixed ₱100 off</t>
        </is>
      </c>
      <c r="D51" s="8" t="inlineStr">
        <is>
          <t>Min spend ₱1,000 (whole order)</t>
        </is>
      </c>
      <c r="E51" s="8" t="inlineStr">
        <is>
          <t>1 per buyer</t>
        </is>
      </c>
      <c r="F51" s="8" t="inlineStr">
        <is>
          <t>Claimable</t>
        </is>
      </c>
    </row>
    <row r="52" ht="16.75" customHeight="1">
      <c r="A52" s="4" t="inlineStr">
        <is>
          <t>FREESHIP</t>
        </is>
      </c>
      <c r="B52" s="8" t="inlineStr">
        <is>
          <t>Admin / platform</t>
        </is>
      </c>
      <c r="C52" s="8" t="inlineStr">
        <is>
          <t>Shipping, up to ₱50 off</t>
        </is>
      </c>
      <c r="D52" s="8" t="inlineStr">
        <is>
          <t>Min spend ₱300</t>
        </is>
      </c>
      <c r="E52" s="8" t="inlineStr">
        <is>
          <t>1 per buyer</t>
        </is>
      </c>
      <c r="F52" s="8" t="inlineStr">
        <is>
          <t>Claimable</t>
        </is>
      </c>
    </row>
    <row r="54">
      <c r="A54" s="3" t="inlineStr">
        <is>
          <t>Shipping rate table (test rates)</t>
        </is>
      </c>
    </row>
    <row r="55">
      <c r="A55" s="6" t="inlineStr">
        <is>
          <t>Route</t>
        </is>
      </c>
      <c r="B55" s="6" t="inlineStr">
        <is>
          <t>First kg</t>
        </is>
      </c>
      <c r="C55" s="6" t="inlineStr">
        <is>
          <t>Each additional kg</t>
        </is>
      </c>
      <c r="D55" s="6" t="inlineStr">
        <is>
          <t>Example</t>
        </is>
      </c>
      <c r="E55" s="6" t="inlineStr"/>
      <c r="F55" s="6" t="inlineStr">
        <is>
          <t>Notes</t>
        </is>
      </c>
    </row>
    <row r="56" ht="16.75" customHeight="1">
      <c r="A56" s="4" t="inlineStr">
        <is>
          <t>Within NCR</t>
        </is>
      </c>
      <c r="B56" s="8" t="inlineStr">
        <is>
          <t>₱50.00</t>
        </is>
      </c>
      <c r="C56" s="8" t="inlineStr">
        <is>
          <t>₱15.00</t>
        </is>
      </c>
      <c r="D56" s="8" t="inlineStr">
        <is>
          <t>1.2 kg → 2 kg → ₱65.00</t>
        </is>
      </c>
      <c r="E56" s="8" t="inlineStr"/>
      <c r="F56" s="8" t="inlineStr">
        <is>
          <t>Seller 1 to ADDR-1 or ADDR-2</t>
        </is>
      </c>
    </row>
    <row r="57" ht="29.5" customHeight="1">
      <c r="A57" s="4" t="inlineStr">
        <is>
          <t>Visayas to NCR</t>
        </is>
      </c>
      <c r="B57" s="8" t="inlineStr">
        <is>
          <t>₱120.00</t>
        </is>
      </c>
      <c r="C57" s="8" t="inlineStr">
        <is>
          <t>₱40.00</t>
        </is>
      </c>
      <c r="D57" s="8" t="inlineStr">
        <is>
          <t>0.2 kg → 1 kg → ₱120.00</t>
        </is>
      </c>
      <c r="E57" s="8" t="inlineStr"/>
      <c r="F57" s="8" t="inlineStr">
        <is>
          <t>Seller 2 to ADDR-1</t>
        </is>
      </c>
    </row>
    <row r="58" ht="29.5" customHeight="1">
      <c r="A58" s="4" t="inlineStr">
        <is>
          <t>NCR to Visayas</t>
        </is>
      </c>
      <c r="B58" s="8" t="inlineStr">
        <is>
          <t>₱120.00</t>
        </is>
      </c>
      <c r="C58" s="8" t="inlineStr">
        <is>
          <t>₱40.00</t>
        </is>
      </c>
      <c r="D58" s="8" t="inlineStr">
        <is>
          <t>0.4 kg → 1 kg → ₱120.00</t>
        </is>
      </c>
      <c r="E58" s="8" t="inlineStr"/>
      <c r="F58" s="8" t="inlineStr">
        <is>
          <t>Seller 1 to ADDR-3</t>
        </is>
      </c>
    </row>
    <row r="59" ht="29.5" customHeight="1">
      <c r="A59" s="4" t="inlineStr">
        <is>
          <t>Within Visayas</t>
        </is>
      </c>
      <c r="B59" s="8" t="inlineStr">
        <is>
          <t>₱60.00</t>
        </is>
      </c>
      <c r="C59" s="8" t="inlineStr">
        <is>
          <t>₱20.00</t>
        </is>
      </c>
      <c r="D59" s="8" t="inlineStr"/>
      <c r="E59" s="8" t="inlineStr"/>
      <c r="F59" s="8" t="inlineStr">
        <is>
          <t>Seller 2 to ADDR-3</t>
        </is>
      </c>
    </row>
    <row r="61">
      <c r="A61" s="3" t="inlineStr">
        <is>
          <t>Worked checkout example (used in Buyer B7/B8, Seller S12 and Cross-cutting X3)</t>
        </is>
      </c>
    </row>
    <row r="62">
      <c r="A62" s="6" t="inlineStr">
        <is>
          <t>Line</t>
        </is>
      </c>
      <c r="B62" s="6" t="inlineStr">
        <is>
          <t>Item</t>
        </is>
      </c>
      <c r="C62" s="6" t="inlineStr">
        <is>
          <t>Amount</t>
        </is>
      </c>
      <c r="D62" s="6" t="inlineStr">
        <is>
          <t>How it is calculated</t>
        </is>
      </c>
      <c r="E62" s="6" t="inlineStr"/>
      <c r="F62" s="6" t="inlineStr"/>
    </row>
    <row r="63" ht="29.5" customHeight="1">
      <c r="A63" s="4" t="inlineStr">
        <is>
          <t>1</t>
        </is>
      </c>
      <c r="B63" s="8" t="inlineStr">
        <is>
          <t>Seller 1: Abaca Tote Natural-M × 1 + Rattan Basket × 1</t>
        </is>
      </c>
      <c r="C63" s="8" t="inlineStr">
        <is>
          <t>₱699.00</t>
        </is>
      </c>
      <c r="D63" s="8" t="inlineStr">
        <is>
          <t>249 + 450</t>
        </is>
      </c>
      <c r="E63" s="8" t="inlineStr"/>
      <c r="F63" s="8" t="inlineStr"/>
    </row>
    <row r="64" ht="16.75" customHeight="1">
      <c r="A64" s="4" t="inlineStr">
        <is>
          <t>2</t>
        </is>
      </c>
      <c r="B64" s="8" t="inlineStr">
        <is>
          <t>Seller 2: USB-C Charger × 1</t>
        </is>
      </c>
      <c r="C64" s="8" t="inlineStr">
        <is>
          <t>₱399.00</t>
        </is>
      </c>
      <c r="D64" s="8" t="inlineStr"/>
      <c r="E64" s="8" t="inlineStr"/>
      <c r="F64" s="8" t="inlineStr"/>
    </row>
    <row r="65" ht="16.75" customHeight="1">
      <c r="A65" s="4" t="inlineStr">
        <is>
          <t>3</t>
        </is>
      </c>
      <c r="B65" s="8" t="inlineStr">
        <is>
          <t>Merchandise subtotal</t>
        </is>
      </c>
      <c r="C65" s="8" t="inlineStr">
        <is>
          <t>₱1,098.00</t>
        </is>
      </c>
      <c r="D65" s="8" t="inlineStr">
        <is>
          <t>699 + 399</t>
        </is>
      </c>
      <c r="E65" s="8" t="inlineStr"/>
      <c r="F65" s="8" t="inlineStr"/>
    </row>
    <row r="66" ht="29.5" customHeight="1">
      <c r="A66" s="4" t="inlineStr">
        <is>
          <t>4</t>
        </is>
      </c>
      <c r="B66" s="8" t="inlineStr">
        <is>
          <t>Shipping, Seller 1 (1.2 kg, within NCR)</t>
        </is>
      </c>
      <c r="C66" s="8" t="inlineStr">
        <is>
          <t>₱65.00</t>
        </is>
      </c>
      <c r="D66" s="8" t="inlineStr">
        <is>
          <t>50 + 15</t>
        </is>
      </c>
      <c r="E66" s="8" t="inlineStr"/>
      <c r="F66" s="8" t="inlineStr"/>
    </row>
    <row r="67" ht="29.5" customHeight="1">
      <c r="A67" s="4" t="inlineStr">
        <is>
          <t>5</t>
        </is>
      </c>
      <c r="B67" s="8" t="inlineStr">
        <is>
          <t>Shipping, Seller 2 (0.2 kg, Visayas to NCR)</t>
        </is>
      </c>
      <c r="C67" s="8" t="inlineStr">
        <is>
          <t>₱120.00</t>
        </is>
      </c>
      <c r="D67" s="8" t="inlineStr"/>
      <c r="E67" s="8" t="inlineStr"/>
      <c r="F67" s="8" t="inlineStr"/>
    </row>
    <row r="68" ht="16.75" customHeight="1">
      <c r="A68" s="4" t="inlineStr">
        <is>
          <t>6</t>
        </is>
      </c>
      <c r="B68" s="8" t="inlineStr">
        <is>
          <t>Store voucher MCH50 (Seller 1)</t>
        </is>
      </c>
      <c r="C68" s="8" t="inlineStr">
        <is>
          <t>−₱50.00</t>
        </is>
      </c>
      <c r="D68" s="8" t="inlineStr">
        <is>
          <t>Seller 1 subtotal 699 ≥ 300</t>
        </is>
      </c>
      <c r="E68" s="8" t="inlineStr"/>
      <c r="F68" s="8" t="inlineStr"/>
    </row>
    <row r="69" ht="16.75" customHeight="1">
      <c r="A69" s="4" t="inlineStr">
        <is>
          <t>7</t>
        </is>
      </c>
      <c r="B69" s="8" t="inlineStr">
        <is>
          <t>Platform voucher PLAT100</t>
        </is>
      </c>
      <c r="C69" s="8" t="inlineStr">
        <is>
          <t>−₱100.00</t>
        </is>
      </c>
      <c r="D69" s="8" t="inlineStr">
        <is>
          <t>Order subtotal 1,098 ≥ 1,000</t>
        </is>
      </c>
      <c r="E69" s="8" t="inlineStr"/>
      <c r="F69" s="8" t="inlineStr"/>
    </row>
    <row r="70" ht="16.75" customHeight="1">
      <c r="A70" s="4" t="inlineStr">
        <is>
          <t>8</t>
        </is>
      </c>
      <c r="B70" s="8" t="inlineStr">
        <is>
          <t>Shipping voucher FREESHIP</t>
        </is>
      </c>
      <c r="C70" s="8" t="inlineStr">
        <is>
          <t>−₱50.00</t>
        </is>
      </c>
      <c r="D70" s="8" t="inlineStr">
        <is>
          <t>Capped at ₱50</t>
        </is>
      </c>
      <c r="E70" s="8" t="inlineStr"/>
      <c r="F70" s="8" t="inlineStr"/>
    </row>
    <row r="71" ht="16.75" customHeight="1">
      <c r="A71" s="4" t="inlineStr">
        <is>
          <t>9</t>
        </is>
      </c>
      <c r="B71" s="8" t="inlineStr">
        <is>
          <t>Total to pay</t>
        </is>
      </c>
      <c r="C71" s="8" t="inlineStr">
        <is>
          <t>₱1,083.00</t>
        </is>
      </c>
      <c r="D71" s="8" t="inlineStr">
        <is>
          <t>1,098 + 185 − 50 − 100 − 50</t>
        </is>
      </c>
      <c r="E71" s="8" t="inlineStr"/>
      <c r="F71" s="8" t="inlineStr"/>
    </row>
    <row r="72" ht="29.5" customHeight="1">
      <c r="A72" s="4" t="inlineStr">
        <is>
          <t>10</t>
        </is>
      </c>
      <c r="B72" s="8" t="inlineStr">
        <is>
          <t>Seller 1 net earnings for this order</t>
        </is>
      </c>
      <c r="C72" s="8" t="inlineStr">
        <is>
          <t>₱616.55</t>
        </is>
      </c>
      <c r="D72" s="8" t="inlineStr">
        <is>
          <t>(699 − 50) = 649 gross after seller vouchers; 5% commission = 32.45</t>
        </is>
      </c>
      <c r="E72" s="8" t="inlineStr"/>
      <c r="F72" s="8" t="inlineStr"/>
    </row>
    <row r="73" ht="29.5" customHeight="1">
      <c r="A73" s="4" t="inlineStr">
        <is>
          <t>11</t>
        </is>
      </c>
      <c r="B73" s="8" t="inlineStr">
        <is>
          <t>Seller 2 net earnings for this order</t>
        </is>
      </c>
      <c r="C73" s="8" t="inlineStr">
        <is>
          <t>₱379.05</t>
        </is>
      </c>
      <c r="D73" s="8" t="inlineStr">
        <is>
          <t>399 − 5% commission (19.95)</t>
        </is>
      </c>
      <c r="E73" s="8" t="inlineStr"/>
      <c r="F73" s="8" t="inlineStr"/>
    </row>
    <row r="75">
      <c r="A75" s="3" t="inlineStr">
        <is>
          <t>Other values</t>
        </is>
      </c>
    </row>
    <row r="76">
      <c r="A76" s="6" t="inlineStr">
        <is>
          <t>Item</t>
        </is>
      </c>
      <c r="B76" s="6" t="inlineStr">
        <is>
          <t>Value</t>
        </is>
      </c>
      <c r="C76" s="6" t="inlineStr"/>
      <c r="D76" s="6" t="inlineStr"/>
      <c r="E76" s="6" t="inlineStr"/>
      <c r="F76" s="6" t="inlineStr">
        <is>
          <t>Notes</t>
        </is>
      </c>
    </row>
    <row r="77" ht="29.5" customHeight="1">
      <c r="A77" s="4" t="inlineStr">
        <is>
          <t>Delivery OTP</t>
        </is>
      </c>
      <c r="B77" s="8" t="inlineStr">
        <is>
          <t>Shown in Buyer 1's order page when Out for Delivery</t>
        </is>
      </c>
      <c r="C77" s="8" t="inlineStr"/>
      <c r="D77" s="8" t="inlineStr"/>
      <c r="E77" s="8" t="inlineStr"/>
      <c r="F77" s="8" t="inlineStr">
        <is>
          <t>6 digits (A32)</t>
        </is>
      </c>
    </row>
    <row r="78" ht="42.25" customHeight="1">
      <c r="A78" s="4" t="inlineStr">
        <is>
          <t>Rider pay</t>
        </is>
      </c>
      <c r="B78" s="8" t="inlineStr">
        <is>
          <t>₱50.00 per delivery, ₱30.00 per pickup, ₱0.00 per failed attempt</t>
        </is>
      </c>
      <c r="C78" s="8" t="inlineStr"/>
      <c r="D78" s="8" t="inlineStr"/>
      <c r="E78" s="8" t="inlineStr"/>
      <c r="F78" s="8" t="inlineStr">
        <is>
          <t>A33</t>
        </is>
      </c>
    </row>
    <row r="79" ht="42.25" customHeight="1">
      <c r="A79" s="4" t="inlineStr">
        <is>
          <t>PLAT100 split (worked example)</t>
        </is>
      </c>
      <c r="B79" s="8" t="inlineStr">
        <is>
          <t>Seller 1 order ₱63.66; Seller 2 order ₱36.34</t>
        </is>
      </c>
      <c r="C79" s="8" t="inlineStr"/>
      <c r="D79" s="8" t="inlineStr"/>
      <c r="E79" s="8" t="inlineStr"/>
      <c r="F79" s="8" t="inlineStr">
        <is>
          <t>100 × 699/1,098 and 100 × 399/1,098 (A8)</t>
        </is>
      </c>
    </row>
    <row r="80" ht="29.5" customHeight="1">
      <c r="A80" s="4" t="inlineStr">
        <is>
          <t>Spare emails</t>
        </is>
      </c>
      <c r="B80" s="8" t="inlineStr">
        <is>
          <t>buyer.test01@example.com to buyer.test10@example.com</t>
        </is>
      </c>
      <c r="C80" s="8" t="inlineStr"/>
      <c r="D80" s="8" t="inlineStr"/>
      <c r="E80" s="8" t="inlineStr"/>
      <c r="F80" s="8" t="inlineStr">
        <is>
          <t>Same pattern for seller.test, logistics.test, rider.test</t>
        </is>
      </c>
    </row>
    <row r="81" ht="29.5" customHeight="1">
      <c r="A81" s="4" t="inlineStr">
        <is>
          <t>Spare mobile numbers</t>
        </is>
      </c>
      <c r="B81" s="8" t="inlineStr">
        <is>
          <t>09170000001 to 09170000020</t>
        </is>
      </c>
      <c r="C81" s="8" t="inlineStr"/>
      <c r="D81" s="8" t="inlineStr"/>
      <c r="E81" s="8" t="inlineStr"/>
      <c r="F81" s="8" t="inlineStr"/>
    </row>
    <row r="82" ht="42.25" customHeight="1">
      <c r="A82" s="4" t="inlineStr">
        <is>
          <t>Long text samples</t>
        </is>
      </c>
      <c r="B82" s="8" t="inlineStr">
        <is>
          <t>Generate with any 'lorem ipsum' tool to the exact character count</t>
        </is>
      </c>
      <c r="C82" s="8" t="inlineStr"/>
      <c r="D82" s="8" t="inlineStr"/>
      <c r="E82" s="8" t="inlineStr"/>
      <c r="F82" s="8" t="inlineStr">
        <is>
          <t>Check the count in a character counter before pasting</t>
        </is>
      </c>
    </row>
    <row r="83" ht="42.25" customHeight="1">
      <c r="A83" s="4" t="inlineStr">
        <is>
          <t>Script and injection strings</t>
        </is>
      </c>
      <c r="B83" s="8" t="inlineStr">
        <is>
          <t>&lt;script&gt;alert(1)&lt;/script&gt;
' OR '1'='1
"&gt;&lt;img src=x onerror=alert(1)&gt;</t>
        </is>
      </c>
      <c r="C83" s="8" t="inlineStr"/>
      <c r="D83" s="8" t="inlineStr"/>
      <c r="E83" s="8" t="inlineStr"/>
      <c r="F83" s="8" t="inlineStr">
        <is>
          <t>Must be shown as text and never run</t>
        </is>
      </c>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2" customWidth="1" min="1" max="1"/>
    <col width="18" customWidth="1" min="2" max="2"/>
    <col width="24" customWidth="1" min="3" max="3"/>
    <col width="46" customWidth="1" min="4" max="4"/>
    <col width="20" customWidth="1" min="5" max="5"/>
  </cols>
  <sheetData>
    <row r="1">
      <c r="A1" s="1" t="inlineStr">
        <is>
          <t>Upload files to prepare</t>
        </is>
      </c>
    </row>
    <row r="2" ht="30" customHeight="1">
      <c r="A2" s="11" t="inlineStr">
        <is>
          <t>Prepare these files before testing uploads. Use sample images only. The size limit is 5 MB, which is 5,120 KB or 5,242,880 bytes.</t>
        </is>
      </c>
    </row>
    <row r="4">
      <c r="A4" s="6" t="inlineStr">
        <is>
          <t>File name</t>
        </is>
      </c>
      <c r="B4" s="6" t="inlineStr">
        <is>
          <t>Type</t>
        </is>
      </c>
      <c r="C4" s="6" t="inlineStr">
        <is>
          <t>Size</t>
        </is>
      </c>
      <c r="D4" s="6" t="inlineStr">
        <is>
          <t>Used for</t>
        </is>
      </c>
      <c r="E4" s="6" t="inlineStr">
        <is>
          <t>Expected result</t>
        </is>
      </c>
    </row>
    <row r="5">
      <c r="A5" s="7" t="inlineStr">
        <is>
          <t>product_front.jpg</t>
        </is>
      </c>
      <c r="B5" s="8" t="inlineStr">
        <is>
          <t>JPG</t>
        </is>
      </c>
      <c r="C5" s="8" t="inlineStr">
        <is>
          <t>1.2 MB</t>
        </is>
      </c>
      <c r="D5" s="8" t="inlineStr">
        <is>
          <t>Product image</t>
        </is>
      </c>
      <c r="E5" s="8" t="inlineStr">
        <is>
          <t>Accept</t>
        </is>
      </c>
    </row>
    <row r="6">
      <c r="A6" s="7" t="inlineStr">
        <is>
          <t>product_side.png</t>
        </is>
      </c>
      <c r="B6" s="8" t="inlineStr">
        <is>
          <t>PNG</t>
        </is>
      </c>
      <c r="C6" s="8" t="inlineStr">
        <is>
          <t>2.4 MB</t>
        </is>
      </c>
      <c r="D6" s="8" t="inlineStr">
        <is>
          <t>Product image</t>
        </is>
      </c>
      <c r="E6" s="8" t="inlineStr">
        <is>
          <t>Accept</t>
        </is>
      </c>
    </row>
    <row r="7">
      <c r="A7" s="7" t="inlineStr">
        <is>
          <t>store_logo.png</t>
        </is>
      </c>
      <c r="B7" s="8" t="inlineStr">
        <is>
          <t>PNG</t>
        </is>
      </c>
      <c r="C7" s="8" t="inlineStr">
        <is>
          <t>300 KB</t>
        </is>
      </c>
      <c r="D7" s="8" t="inlineStr">
        <is>
          <t>Store logo</t>
        </is>
      </c>
      <c r="E7" s="8" t="inlineStr">
        <is>
          <t>Accept</t>
        </is>
      </c>
    </row>
    <row r="8">
      <c r="A8" s="7" t="inlineStr">
        <is>
          <t>store_banner.jpg</t>
        </is>
      </c>
      <c r="B8" s="8" t="inlineStr">
        <is>
          <t>JPG</t>
        </is>
      </c>
      <c r="C8" s="8" t="inlineStr">
        <is>
          <t>1.8 MB</t>
        </is>
      </c>
      <c r="D8" s="8" t="inlineStr">
        <is>
          <t>Store banner</t>
        </is>
      </c>
      <c r="E8" s="8" t="inlineStr">
        <is>
          <t>Accept</t>
        </is>
      </c>
    </row>
    <row r="9">
      <c r="A9" s="7" t="inlineStr">
        <is>
          <t>review_photo.jpg</t>
        </is>
      </c>
      <c r="B9" s="8" t="inlineStr">
        <is>
          <t>JPG</t>
        </is>
      </c>
      <c r="C9" s="8" t="inlineStr">
        <is>
          <t>1.5 MB</t>
        </is>
      </c>
      <c r="D9" s="8" t="inlineStr">
        <is>
          <t>Review photo / return evidence / chat attachment</t>
        </is>
      </c>
      <c r="E9" s="8" t="inlineStr">
        <is>
          <t>Accept</t>
        </is>
      </c>
    </row>
    <row r="10">
      <c r="A10" s="7" t="inlineStr">
        <is>
          <t>return_video.mp4</t>
        </is>
      </c>
      <c r="B10" s="8" t="inlineStr">
        <is>
          <t>MP4</t>
        </is>
      </c>
      <c r="C10" s="8" t="inlineStr">
        <is>
          <t>8 MB</t>
        </is>
      </c>
      <c r="D10" s="8" t="inlineStr">
        <is>
          <t>Return evidence video (if videos are supported)</t>
        </is>
      </c>
      <c r="E10" s="8" t="inlineStr">
        <is>
          <t>Accept per your rule</t>
        </is>
      </c>
    </row>
    <row r="11">
      <c r="A11" s="7" t="inlineStr">
        <is>
          <t>pod_photo.jpg</t>
        </is>
      </c>
      <c r="B11" s="8" t="inlineStr">
        <is>
          <t>JPG</t>
        </is>
      </c>
      <c r="C11" s="8" t="inlineStr">
        <is>
          <t>1.1 MB</t>
        </is>
      </c>
      <c r="D11" s="8" t="inlineStr">
        <is>
          <t>Rider proof of delivery</t>
        </is>
      </c>
      <c r="E11" s="8" t="inlineStr">
        <is>
          <t>Accept</t>
        </is>
      </c>
    </row>
    <row r="12">
      <c r="A12" s="7" t="inlineStr">
        <is>
          <t>size_4.9MB.jpg</t>
        </is>
      </c>
      <c r="B12" s="8" t="inlineStr">
        <is>
          <t>JPG</t>
        </is>
      </c>
      <c r="C12" s="8" t="inlineStr">
        <is>
          <t>4.9 MB (5,138,022 bytes)</t>
        </is>
      </c>
      <c r="D12" s="8" t="inlineStr">
        <is>
          <t>Just under the size limit</t>
        </is>
      </c>
      <c r="E12" s="8" t="inlineStr">
        <is>
          <t>Accept</t>
        </is>
      </c>
    </row>
    <row r="13">
      <c r="A13" s="7" t="inlineStr">
        <is>
          <t>size_5.0MB.jpg</t>
        </is>
      </c>
      <c r="B13" s="8" t="inlineStr">
        <is>
          <t>JPG</t>
        </is>
      </c>
      <c r="C13" s="8" t="inlineStr">
        <is>
          <t>5.0 MB (5,242,880 bytes)</t>
        </is>
      </c>
      <c r="D13" s="8" t="inlineStr">
        <is>
          <t>Exactly at the size limit</t>
        </is>
      </c>
      <c r="E13" s="8" t="inlineStr">
        <is>
          <t>Accept</t>
        </is>
      </c>
    </row>
    <row r="14">
      <c r="A14" s="7" t="inlineStr">
        <is>
          <t>size_5.1MB.jpg</t>
        </is>
      </c>
      <c r="B14" s="8" t="inlineStr">
        <is>
          <t>JPG</t>
        </is>
      </c>
      <c r="C14" s="8" t="inlineStr">
        <is>
          <t>5.1 MB (5,347,738 bytes)</t>
        </is>
      </c>
      <c r="D14" s="8" t="inlineStr">
        <is>
          <t>Just over the size limit</t>
        </is>
      </c>
      <c r="E14" s="8" t="inlineStr">
        <is>
          <t>Reject</t>
        </is>
      </c>
    </row>
    <row r="15">
      <c r="A15" s="7" t="inlineStr">
        <is>
          <t>price_list.docx</t>
        </is>
      </c>
      <c r="B15" s="8" t="inlineStr">
        <is>
          <t>DOCX</t>
        </is>
      </c>
      <c r="C15" s="8" t="inlineStr">
        <is>
          <t>320 KB</t>
        </is>
      </c>
      <c r="D15" s="8" t="inlineStr">
        <is>
          <t>Wrong file type (Word document)</t>
        </is>
      </c>
      <c r="E15" s="8" t="inlineStr">
        <is>
          <t>Reject</t>
        </is>
      </c>
    </row>
    <row r="16">
      <c r="A16" s="7" t="inlineStr">
        <is>
          <t>installer.exe</t>
        </is>
      </c>
      <c r="B16" s="8" t="inlineStr">
        <is>
          <t>EXE</t>
        </is>
      </c>
      <c r="C16" s="8" t="inlineStr">
        <is>
          <t>2.1 MB</t>
        </is>
      </c>
      <c r="D16" s="8" t="inlineStr">
        <is>
          <t>Wrong file type (program)</t>
        </is>
      </c>
      <c r="E16" s="8" t="inlineStr">
        <is>
          <t>Reject</t>
        </is>
      </c>
    </row>
    <row r="17">
      <c r="A17" s="7" t="inlineStr">
        <is>
          <t>renamed_exe.jpg</t>
        </is>
      </c>
      <c r="B17" s="8" t="inlineStr">
        <is>
          <t>JPG (really an EXE)</t>
        </is>
      </c>
      <c r="C17" s="8" t="inlineStr">
        <is>
          <t>2.1 MB</t>
        </is>
      </c>
      <c r="D17" s="8" t="inlineStr">
        <is>
          <t>Program renamed to .jpg</t>
        </is>
      </c>
      <c r="E17" s="8" t="inlineStr">
        <is>
          <t>Reject</t>
        </is>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BUY-ACCT-001</t>
        </is>
      </c>
      <c r="B2" s="8" t="inlineStr">
        <is>
          <t>Account &amp; Security</t>
        </is>
      </c>
      <c r="C2" s="8" t="inlineStr">
        <is>
          <t>Edit profile with valid data</t>
        </is>
      </c>
      <c r="D2" s="8" t="inlineStr">
        <is>
          <t>Use Case Testing</t>
        </is>
      </c>
      <c r="E2" s="8" t="inlineStr">
        <is>
          <t>Medium</t>
        </is>
      </c>
      <c r="F2" s="8" t="inlineStr">
        <is>
          <t>Logged in as Buyer 1. My Profile is open.</t>
        </is>
      </c>
      <c r="G2" s="8" t="inlineStr">
        <is>
          <t>1. Change First Name to the test data and upload the photo.
2. Click Save.
3. Refresh, then log out and log back in.</t>
        </is>
      </c>
      <c r="H2" s="8" t="inlineStr">
        <is>
          <t>First Name: Juan Miguel Jr.
Photo: review_photo.jpg</t>
        </is>
      </c>
      <c r="I2" s="8" t="inlineStr">
        <is>
          <t>A success message is shown. After refresh and re-login the new name and photo are shown in the profile and the header. Email and phone are unchanged.</t>
        </is>
      </c>
      <c r="J2" s="8" t="inlineStr">
        <is>
          <t>A16</t>
        </is>
      </c>
      <c r="K2" s="5" t="n"/>
      <c r="L2" s="5" t="inlineStr">
        <is>
          <t>Not Run</t>
        </is>
      </c>
      <c r="M2" s="5" t="n"/>
    </row>
    <row r="3" ht="67.75" customHeight="1">
      <c r="A3" s="7" t="inlineStr">
        <is>
          <t>BUY-ACCT-002</t>
        </is>
      </c>
      <c r="B3" s="8" t="inlineStr">
        <is>
          <t>Account &amp; Security</t>
        </is>
      </c>
      <c r="C3" s="8" t="inlineStr">
        <is>
          <t>Profile field validation</t>
        </is>
      </c>
      <c r="D3" s="8" t="inlineStr">
        <is>
          <t>Equivalence Partitioning</t>
        </is>
      </c>
      <c r="E3" s="8" t="inlineStr">
        <is>
          <t>Medium</t>
        </is>
      </c>
      <c r="F3" s="8" t="inlineStr">
        <is>
          <t>Logged in as Buyer 1. My Profile is open.</t>
        </is>
      </c>
      <c r="G3" s="8" t="inlineStr">
        <is>
          <t>1. Enter each value, one per attempt, and save.</t>
        </is>
      </c>
      <c r="H3" s="8" t="inlineStr">
        <is>
          <t>First Name: empty (reject)
First Name: Juan123 (reject)
First Name: J (reject)
Photo: size_5.1MB.jpg (reject)
Photo: renamed_exe.jpg (reject)</t>
        </is>
      </c>
      <c r="I3" s="8" t="inlineStr">
        <is>
          <t>Each is rejected with a field message; the saved profile is unchanged after refresh.</t>
        </is>
      </c>
      <c r="J3" s="8" t="inlineStr">
        <is>
          <t>A16</t>
        </is>
      </c>
      <c r="K3" s="5" t="n"/>
      <c r="L3" s="5" t="inlineStr">
        <is>
          <t>Not Run</t>
        </is>
      </c>
      <c r="M3" s="5" t="n"/>
    </row>
    <row r="4" ht="67.75" customHeight="1">
      <c r="A4" s="7" t="inlineStr">
        <is>
          <t>BUY-ACCT-003</t>
        </is>
      </c>
      <c r="B4" s="8" t="inlineStr">
        <is>
          <t>Account &amp; Security</t>
        </is>
      </c>
      <c r="C4" s="8" t="inlineStr">
        <is>
          <t>Change password with the correct old password</t>
        </is>
      </c>
      <c r="D4" s="8" t="inlineStr">
        <is>
          <t>Use Case Testing</t>
        </is>
      </c>
      <c r="E4" s="8" t="inlineStr">
        <is>
          <t>High</t>
        </is>
      </c>
      <c r="F4" s="8" t="inlineStr">
        <is>
          <t>Logged in as Buyer 1.</t>
        </is>
      </c>
      <c r="G4" s="8" t="inlineStr">
        <is>
          <t>1. Open Change Password and enter the test data.
2. Save.
3. Log out. Log in with the old password.
4. Log in with the new password.</t>
        </is>
      </c>
      <c r="H4" s="8" t="inlineStr">
        <is>
          <t>Old: Mamimili@2026
New: Mamimili@2027
Confirm: Mamimili@2027</t>
        </is>
      </c>
      <c r="I4" s="8" t="inlineStr">
        <is>
          <t>Password changes with a success message. The old password is rejected; the new one works.</t>
        </is>
      </c>
      <c r="J4" s="8" t="inlineStr"/>
      <c r="K4" s="5" t="n"/>
      <c r="L4" s="5" t="inlineStr">
        <is>
          <t>Not Run</t>
        </is>
      </c>
      <c r="M4" s="5" t="n"/>
    </row>
    <row r="5" ht="55" customHeight="1">
      <c r="A5" s="7" t="inlineStr">
        <is>
          <t>BUY-ACCT-004</t>
        </is>
      </c>
      <c r="B5" s="8" t="inlineStr">
        <is>
          <t>Account &amp; Security</t>
        </is>
      </c>
      <c r="C5" s="8" t="inlineStr">
        <is>
          <t>Change password with a wrong old password</t>
        </is>
      </c>
      <c r="D5" s="8" t="inlineStr">
        <is>
          <t>Equivalence Partitioning</t>
        </is>
      </c>
      <c r="E5" s="8" t="inlineStr">
        <is>
          <t>High</t>
        </is>
      </c>
      <c r="F5" s="8" t="inlineStr">
        <is>
          <t>Logged in as Buyer 1.</t>
        </is>
      </c>
      <c r="G5" s="8" t="inlineStr">
        <is>
          <t>1. Enter a wrong old password and a valid new one.
2. Save.
3. Log out and log in with Mamimili@2026.</t>
        </is>
      </c>
      <c r="H5" s="8" t="inlineStr">
        <is>
          <t>Old: Wrong@2026
New: Mamimili@2027</t>
        </is>
      </c>
      <c r="I5" s="8" t="inlineStr">
        <is>
          <t>Blocked with 'current password is incorrect'. The original password still works.</t>
        </is>
      </c>
      <c r="J5" s="8" t="inlineStr"/>
      <c r="K5" s="5" t="n"/>
      <c r="L5" s="5" t="inlineStr">
        <is>
          <t>Not Run</t>
        </is>
      </c>
      <c r="M5" s="5" t="n"/>
    </row>
    <row r="6" ht="106" customHeight="1">
      <c r="A6" s="7" t="inlineStr">
        <is>
          <t>BUY-ACCT-005</t>
        </is>
      </c>
      <c r="B6" s="8" t="inlineStr">
        <is>
          <t>Account &amp; Security</t>
        </is>
      </c>
      <c r="C6" s="8" t="inlineStr">
        <is>
          <t>New password breaks the rule</t>
        </is>
      </c>
      <c r="D6" s="8" t="inlineStr">
        <is>
          <t>Decision Table</t>
        </is>
      </c>
      <c r="E6" s="8" t="inlineStr">
        <is>
          <t>High</t>
        </is>
      </c>
      <c r="F6" s="8" t="inlineStr">
        <is>
          <t>Logged in as Buyer 1.</t>
        </is>
      </c>
      <c r="G6" s="8" t="inlineStr">
        <is>
          <t>1. Enter the correct old password and each new password, one per attempt.</t>
        </is>
      </c>
      <c r="H6" s="8" t="inlineStr">
        <is>
          <t>Mami@26 (7 characters)
mamimili@2027 (no uppercase)
MAMIMILI@2027 (no lowercase)
Mamimili@abcd (no number)
Mamimili2027 (no special)
Confirm: Mamimili@2028 (does not match)
New = old: Mamimili@2026</t>
        </is>
      </c>
      <c r="I6" s="8" t="inlineStr">
        <is>
          <t>Each is rejected with the specific rule that failed. The password is unchanged.</t>
        </is>
      </c>
      <c r="J6" s="8" t="inlineStr"/>
      <c r="K6" s="5" t="n"/>
      <c r="L6" s="5" t="inlineStr">
        <is>
          <t>Not Run</t>
        </is>
      </c>
      <c r="M6" s="5" t="n"/>
    </row>
    <row r="7" ht="67.75" customHeight="1">
      <c r="A7" s="7" t="inlineStr">
        <is>
          <t>BUY-ACCT-006</t>
        </is>
      </c>
      <c r="B7" s="8" t="inlineStr">
        <is>
          <t>Account &amp; Security</t>
        </is>
      </c>
      <c r="C7" s="8" t="inlineStr">
        <is>
          <t>Change email with verification</t>
        </is>
      </c>
      <c r="D7" s="8" t="inlineStr">
        <is>
          <t>State Transition</t>
        </is>
      </c>
      <c r="E7" s="8" t="inlineStr">
        <is>
          <t>High</t>
        </is>
      </c>
      <c r="F7" s="8" t="inlineStr">
        <is>
          <t>Logged in as Buyer 1.</t>
        </is>
      </c>
      <c r="G7" s="8" t="inlineStr">
        <is>
          <t>1. Change the email to the spare email.
2. Before entering the OTP, log out and log in with the old email.
3. Enter the OTP from the new email.
4. Log out and log in with each email.</t>
        </is>
      </c>
      <c r="H7" s="8" t="inlineStr">
        <is>
          <t>New email: buyer.test01@example.com</t>
        </is>
      </c>
      <c r="I7" s="8" t="inlineStr">
        <is>
          <t>Before verification the old email still logs in and the profile still shows it. After the correct OTP, only the new email logs in; the old one is rejected.</t>
        </is>
      </c>
      <c r="J7" s="8" t="inlineStr"/>
      <c r="K7" s="5" t="n"/>
      <c r="L7" s="5" t="inlineStr">
        <is>
          <t>Not Run</t>
        </is>
      </c>
      <c r="M7" s="5" t="n"/>
    </row>
    <row r="8" ht="55" customHeight="1">
      <c r="A8" s="7" t="inlineStr">
        <is>
          <t>BUY-ACCT-007</t>
        </is>
      </c>
      <c r="B8" s="8" t="inlineStr">
        <is>
          <t>Account &amp; Security</t>
        </is>
      </c>
      <c r="C8" s="8" t="inlineStr">
        <is>
          <t>Change email: wrong or expired OTP</t>
        </is>
      </c>
      <c r="D8" s="8" t="inlineStr">
        <is>
          <t>Boundary Value Analysis</t>
        </is>
      </c>
      <c r="E8" s="8" t="inlineStr">
        <is>
          <t>Medium</t>
        </is>
      </c>
      <c r="F8" s="8" t="inlineStr">
        <is>
          <t>Logged in as Buyer 1.</t>
        </is>
      </c>
      <c r="G8" s="8" t="inlineStr">
        <is>
          <t>1. Request the change and enter a wrong OTP.
2. Wait 5 minutes and enter the correct (now expired) OTP.</t>
        </is>
      </c>
      <c r="H8" s="8" t="inlineStr">
        <is>
          <t>Wrong OTP: 000000</t>
        </is>
      </c>
      <c r="I8" s="8" t="inlineStr">
        <is>
          <t>Both are rejected. The email is not changed.</t>
        </is>
      </c>
      <c r="J8" s="8" t="inlineStr"/>
      <c r="K8" s="5" t="n"/>
      <c r="L8" s="5" t="inlineStr">
        <is>
          <t>Not Run</t>
        </is>
      </c>
      <c r="M8" s="5" t="n"/>
    </row>
    <row r="9" ht="42.25" customHeight="1">
      <c r="A9" s="7" t="inlineStr">
        <is>
          <t>BUY-ACCT-008</t>
        </is>
      </c>
      <c r="B9" s="8" t="inlineStr">
        <is>
          <t>Account &amp; Security</t>
        </is>
      </c>
      <c r="C9" s="8" t="inlineStr">
        <is>
          <t>Change email to one already used</t>
        </is>
      </c>
      <c r="D9" s="8" t="inlineStr">
        <is>
          <t>Equivalence Partitioning</t>
        </is>
      </c>
      <c r="E9" s="8" t="inlineStr">
        <is>
          <t>Medium</t>
        </is>
      </c>
      <c r="F9" s="8" t="inlineStr">
        <is>
          <t>Logged in as Buyer 1.</t>
        </is>
      </c>
      <c r="G9" s="8" t="inlineStr">
        <is>
          <t>1. Change the email to each value.</t>
        </is>
      </c>
      <c r="H9" s="8" t="inlineStr">
        <is>
          <t>anamarie.reyes@example.com
MARIACLARA.SANTOS@example.com (seller, different case)</t>
        </is>
      </c>
      <c r="I9" s="8" t="inlineStr">
        <is>
          <t>Both are blocked with 'email already in use' and no OTP is sent.</t>
        </is>
      </c>
      <c r="J9" s="8" t="inlineStr"/>
      <c r="K9" s="5" t="n"/>
      <c r="L9" s="5" t="inlineStr">
        <is>
          <t>Not Run</t>
        </is>
      </c>
      <c r="M9" s="5" t="n"/>
    </row>
    <row r="10" ht="42.25" customHeight="1">
      <c r="A10" s="7" t="inlineStr">
        <is>
          <t>BUY-ACCT-009</t>
        </is>
      </c>
      <c r="B10" s="8" t="inlineStr">
        <is>
          <t>Account &amp; Security</t>
        </is>
      </c>
      <c r="C10" s="8" t="inlineStr">
        <is>
          <t>Change phone with verification and format</t>
        </is>
      </c>
      <c r="D10" s="8" t="inlineStr">
        <is>
          <t>State Transition</t>
        </is>
      </c>
      <c r="E10" s="8" t="inlineStr">
        <is>
          <t>Medium</t>
        </is>
      </c>
      <c r="F10" s="8" t="inlineStr">
        <is>
          <t>Logged in as Buyer 1.</t>
        </is>
      </c>
      <c r="G10" s="8" t="inlineStr">
        <is>
          <t>1. Change the phone to each value; complete the OTP for the valid one.</t>
        </is>
      </c>
      <c r="H10" s="8" t="inlineStr">
        <is>
          <t>0917123 (reject)
09173456789 (Buyer 2's, reject)
09170000001 (accept after OTP)</t>
        </is>
      </c>
      <c r="I10" s="8" t="inlineStr">
        <is>
          <t>Invalid and duplicate numbers are rejected without an OTP. The valid number is saved only after verification.</t>
        </is>
      </c>
      <c r="J10" s="8" t="inlineStr"/>
      <c r="K10" s="5" t="n"/>
      <c r="L10" s="5" t="inlineStr">
        <is>
          <t>Not Run</t>
        </is>
      </c>
      <c r="M10" s="5" t="n"/>
    </row>
  </sheetData>
  <autoFilter ref="A1:M10"/>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BUY-ADDR-001</t>
        </is>
      </c>
      <c r="B2" s="8" t="inlineStr">
        <is>
          <t>Address Book</t>
        </is>
      </c>
      <c r="C2" s="8" t="inlineStr">
        <is>
          <t>Add an address with valid data</t>
        </is>
      </c>
      <c r="D2" s="8" t="inlineStr">
        <is>
          <t>Use Case Testing</t>
        </is>
      </c>
      <c r="E2" s="8" t="inlineStr">
        <is>
          <t>High</t>
        </is>
      </c>
      <c r="F2" s="8" t="inlineStr">
        <is>
          <t>Logged in as Buyer 1. Address Book is open with ADDR-1 only.</t>
        </is>
      </c>
      <c r="G2" s="8" t="inlineStr">
        <is>
          <t>1. Click Add Address.
2. Select Region, Province, City and Barangay in order.
3. Fill in street, recipient and phone.
4. Save and refresh.</t>
        </is>
      </c>
      <c r="H2" s="8" t="inlineStr">
        <is>
          <t>ADDR-2 (Makati office)</t>
        </is>
      </c>
      <c r="I2" s="8" t="inlineStr">
        <is>
          <t>ADDR-2 is listed with exactly the entered values and is not default. ADDR-1 is still default.</t>
        </is>
      </c>
      <c r="J2" s="8" t="inlineStr">
        <is>
          <t>A30</t>
        </is>
      </c>
      <c r="K2" s="5" t="n"/>
      <c r="L2" s="5" t="inlineStr">
        <is>
          <t>Not Run</t>
        </is>
      </c>
      <c r="M2" s="5" t="n"/>
    </row>
    <row r="3" ht="42.25" customHeight="1">
      <c r="A3" s="7" t="inlineStr">
        <is>
          <t>BUY-ADDR-002</t>
        </is>
      </c>
      <c r="B3" s="8" t="inlineStr">
        <is>
          <t>Address Book</t>
        </is>
      </c>
      <c r="C3" s="8" t="inlineStr">
        <is>
          <t>Region → city → barangay cascade</t>
        </is>
      </c>
      <c r="D3" s="8" t="inlineStr">
        <is>
          <t>Equivalence Partitioning</t>
        </is>
      </c>
      <c r="E3" s="8" t="inlineStr">
        <is>
          <t>High</t>
        </is>
      </c>
      <c r="F3" s="8" t="inlineStr">
        <is>
          <t>Logged in as Buyer 1.</t>
        </is>
      </c>
      <c r="G3" s="8" t="inlineStr">
        <is>
          <t>1. Select NCR; open the City list.
2. Select Makati; open the Barangay list.
3. Change Region to Region VII.</t>
        </is>
      </c>
      <c r="H3" s="8" t="inlineStr"/>
      <c r="I3" s="8" t="inlineStr">
        <is>
          <t>Each list shows only places under the one above (no Cebu cities under NCR). Changing Region clears City and Barangay.</t>
        </is>
      </c>
      <c r="J3" s="8" t="inlineStr"/>
      <c r="K3" s="5" t="n"/>
      <c r="L3" s="5" t="inlineStr">
        <is>
          <t>Not Run</t>
        </is>
      </c>
      <c r="M3" s="5" t="n"/>
    </row>
    <row r="4" ht="29.5" customHeight="1">
      <c r="A4" s="7" t="inlineStr">
        <is>
          <t>BUY-ADDR-003</t>
        </is>
      </c>
      <c r="B4" s="8" t="inlineStr">
        <is>
          <t>Address Book</t>
        </is>
      </c>
      <c r="C4" s="8" t="inlineStr">
        <is>
          <t>Each required field left blank</t>
        </is>
      </c>
      <c r="D4" s="8" t="inlineStr">
        <is>
          <t>Equivalence Partitioning</t>
        </is>
      </c>
      <c r="E4" s="8" t="inlineStr">
        <is>
          <t>High</t>
        </is>
      </c>
      <c r="F4" s="8" t="inlineStr">
        <is>
          <t>Logged in as Buyer 1.</t>
        </is>
      </c>
      <c r="G4" s="8" t="inlineStr">
        <is>
          <t>1. Fill in all fields, clear one and save; repeat for each.</t>
        </is>
      </c>
      <c r="H4" s="8" t="inlineStr">
        <is>
          <t>Clear in turn: Recipient, Phone, Region, City, Barangay, Street</t>
        </is>
      </c>
      <c r="I4" s="8" t="inlineStr">
        <is>
          <t>Each attempt is blocked with a message on the blank field. No address is added.</t>
        </is>
      </c>
      <c r="J4" s="8" t="inlineStr"/>
      <c r="K4" s="5" t="n"/>
      <c r="L4" s="5" t="inlineStr">
        <is>
          <t>Not Run</t>
        </is>
      </c>
      <c r="M4" s="5" t="n"/>
    </row>
    <row r="5" ht="55" customHeight="1">
      <c r="A5" s="7" t="inlineStr">
        <is>
          <t>BUY-ADDR-004</t>
        </is>
      </c>
      <c r="B5" s="8" t="inlineStr">
        <is>
          <t>Address Book</t>
        </is>
      </c>
      <c r="C5" s="8" t="inlineStr">
        <is>
          <t>Phone number format</t>
        </is>
      </c>
      <c r="D5" s="8" t="inlineStr">
        <is>
          <t>Equivalence Partitioning</t>
        </is>
      </c>
      <c r="E5" s="8" t="inlineStr">
        <is>
          <t>Medium</t>
        </is>
      </c>
      <c r="F5" s="8" t="inlineStr">
        <is>
          <t>Logged in as Buyer 1.</t>
        </is>
      </c>
      <c r="G5" s="8" t="inlineStr">
        <is>
          <t>1. Enter each phone number and save.</t>
        </is>
      </c>
      <c r="H5" s="8" t="inlineStr">
        <is>
          <t>0917123 (reject)
091712345678 (reject)
09171234567 (accept)
+639171234567 (accept)</t>
        </is>
      </c>
      <c r="I5" s="8" t="inlineStr">
        <is>
          <t>Only the two valid formats save.</t>
        </is>
      </c>
      <c r="J5" s="8" t="inlineStr"/>
      <c r="K5" s="5" t="n"/>
      <c r="L5" s="5" t="inlineStr">
        <is>
          <t>Not Run</t>
        </is>
      </c>
      <c r="M5" s="5" t="n"/>
    </row>
    <row r="6" ht="29.5" customHeight="1">
      <c r="A6" s="7" t="inlineStr">
        <is>
          <t>BUY-ADDR-005</t>
        </is>
      </c>
      <c r="B6" s="8" t="inlineStr">
        <is>
          <t>Address Book</t>
        </is>
      </c>
      <c r="C6" s="8" t="inlineStr">
        <is>
          <t>Address book limit</t>
        </is>
      </c>
      <c r="D6" s="8" t="inlineStr">
        <is>
          <t>Boundary Value Analysis</t>
        </is>
      </c>
      <c r="E6" s="8" t="inlineStr">
        <is>
          <t>Low</t>
        </is>
      </c>
      <c r="F6" s="8" t="inlineStr">
        <is>
          <t>Logged in as Buyer 1. 9 addresses exist.</t>
        </is>
      </c>
      <c r="G6" s="8" t="inlineStr">
        <is>
          <t>1. Add a 10th.
2. Try an 11th.</t>
        </is>
      </c>
      <c r="H6" s="8" t="inlineStr"/>
      <c r="I6" s="8" t="inlineStr">
        <is>
          <t>The 10th saves. The 11th is blocked with a limit message.</t>
        </is>
      </c>
      <c r="J6" s="8" t="inlineStr">
        <is>
          <t>A30</t>
        </is>
      </c>
      <c r="K6" s="5" t="n"/>
      <c r="L6" s="5" t="inlineStr">
        <is>
          <t>Not Run</t>
        </is>
      </c>
      <c r="M6" s="5" t="n"/>
    </row>
    <row r="7" ht="29.5" customHeight="1">
      <c r="A7" s="7" t="inlineStr">
        <is>
          <t>BUY-ADDR-006</t>
        </is>
      </c>
      <c r="B7" s="8" t="inlineStr">
        <is>
          <t>Address Book</t>
        </is>
      </c>
      <c r="C7" s="8" t="inlineStr">
        <is>
          <t>Set a different default address</t>
        </is>
      </c>
      <c r="D7" s="8" t="inlineStr">
        <is>
          <t>State Transition</t>
        </is>
      </c>
      <c r="E7" s="8" t="inlineStr">
        <is>
          <t>Medium</t>
        </is>
      </c>
      <c r="F7" s="8" t="inlineStr">
        <is>
          <t>Logged in as Buyer 1.</t>
        </is>
      </c>
      <c r="G7" s="8" t="inlineStr">
        <is>
          <t>1. Set ADDR-2 as default.
2. Open checkout.</t>
        </is>
      </c>
      <c r="H7" s="8" t="inlineStr">
        <is>
          <t>ADDR-2</t>
        </is>
      </c>
      <c r="I7" s="8" t="inlineStr">
        <is>
          <t>Only ADDR-2 shows Default and checkout pre-selects it.</t>
        </is>
      </c>
      <c r="J7" s="8" t="inlineStr">
        <is>
          <t>A30</t>
        </is>
      </c>
      <c r="K7" s="5" t="n"/>
      <c r="L7" s="5" t="inlineStr">
        <is>
          <t>Not Run</t>
        </is>
      </c>
      <c r="M7" s="5" t="n"/>
    </row>
    <row r="8" ht="42.25" customHeight="1">
      <c r="A8" s="7" t="inlineStr">
        <is>
          <t>BUY-ADDR-007</t>
        </is>
      </c>
      <c r="B8" s="8" t="inlineStr">
        <is>
          <t>Address Book</t>
        </is>
      </c>
      <c r="C8" s="8" t="inlineStr">
        <is>
          <t>Delete the default address</t>
        </is>
      </c>
      <c r="D8" s="8" t="inlineStr">
        <is>
          <t>State Transition</t>
        </is>
      </c>
      <c r="E8" s="8" t="inlineStr">
        <is>
          <t>High</t>
        </is>
      </c>
      <c r="F8" s="8" t="inlineStr">
        <is>
          <t>Logged in as Buyer 1. ADDR-1 is default; ADDR-2 exists.</t>
        </is>
      </c>
      <c r="G8" s="8" t="inlineStr">
        <is>
          <t>1. Try to delete ADDR-1.
2. Set ADDR-2 as default, then delete ADDR-1.</t>
        </is>
      </c>
      <c r="H8" s="8" t="inlineStr"/>
      <c r="I8" s="8" t="inlineStr">
        <is>
          <t>The first attempt is blocked with a message to choose another default first. The second succeeds. There is always exactly one default.</t>
        </is>
      </c>
      <c r="J8" s="8" t="inlineStr">
        <is>
          <t>A30</t>
        </is>
      </c>
      <c r="K8" s="5" t="n"/>
      <c r="L8" s="5" t="inlineStr">
        <is>
          <t>Not Run</t>
        </is>
      </c>
      <c r="M8" s="5" t="n"/>
    </row>
    <row r="9" ht="55" customHeight="1">
      <c r="A9" s="7" t="inlineStr">
        <is>
          <t>BUY-ADDR-008</t>
        </is>
      </c>
      <c r="B9" s="8" t="inlineStr">
        <is>
          <t>Address Book</t>
        </is>
      </c>
      <c r="C9" s="8" t="inlineStr">
        <is>
          <t>Edit or delete an address used by an active order</t>
        </is>
      </c>
      <c r="D9" s="8" t="inlineStr">
        <is>
          <t>Error Guessing</t>
        </is>
      </c>
      <c r="E9" s="8" t="inlineStr">
        <is>
          <t>High</t>
        </is>
      </c>
      <c r="F9" s="8" t="inlineStr">
        <is>
          <t>Logged in as Buyer 1. A To Ship order uses ADDR-2.</t>
        </is>
      </c>
      <c r="G9" s="8" t="inlineStr">
        <is>
          <t>1. Change ADDR-2's street, then delete ADDR-2.
2. Open the order as Buyer 1 and Seller 1, and print the waybill.</t>
        </is>
      </c>
      <c r="H9" s="8" t="inlineStr">
        <is>
          <t>Street: 14F Pacific Tower</t>
        </is>
      </c>
      <c r="I9" s="8" t="inlineStr">
        <is>
          <t>The order, the seller's view and the waybill still show the original ADDR-2 exactly.</t>
        </is>
      </c>
      <c r="J9" s="8" t="inlineStr">
        <is>
          <t>A30</t>
        </is>
      </c>
      <c r="K9" s="5" t="n"/>
      <c r="L9" s="5" t="inlineStr">
        <is>
          <t>Not Run</t>
        </is>
      </c>
      <c r="M9" s="5" t="n"/>
    </row>
    <row r="10" ht="29.5" customHeight="1">
      <c r="A10" s="7" t="inlineStr">
        <is>
          <t>BUY-ADDR-009</t>
        </is>
      </c>
      <c r="B10" s="8" t="inlineStr">
        <is>
          <t>Address Book</t>
        </is>
      </c>
      <c r="C10" s="8" t="inlineStr">
        <is>
          <t>Cannot open another buyer's address</t>
        </is>
      </c>
      <c r="D10" s="8" t="inlineStr">
        <is>
          <t>Error Guessing</t>
        </is>
      </c>
      <c r="E10" s="8" t="inlineStr">
        <is>
          <t>High</t>
        </is>
      </c>
      <c r="F10" s="8" t="inlineStr">
        <is>
          <t>Logged in as Buyer 1.</t>
        </is>
      </c>
      <c r="G10" s="8" t="inlineStr">
        <is>
          <t>1. Open Edit on ADDR-1 and change the address ID in the URL to ADDR-3's (Buyer 2).</t>
        </is>
      </c>
      <c r="H10" s="8" t="inlineStr"/>
      <c r="I10" s="8" t="inlineStr">
        <is>
          <t>Access is denied. No part of ADDR-3 is shown.</t>
        </is>
      </c>
      <c r="J10" s="8" t="inlineStr">
        <is>
          <t>A22</t>
        </is>
      </c>
      <c r="K10" s="5" t="n"/>
      <c r="L10" s="5" t="inlineStr">
        <is>
          <t>Not Run</t>
        </is>
      </c>
      <c r="M10" s="5" t="n"/>
    </row>
  </sheetData>
  <autoFilter ref="A1:M10"/>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BUY-SRCH-001</t>
        </is>
      </c>
      <c r="B2" s="8" t="inlineStr">
        <is>
          <t>Browse, Search &amp; Filter</t>
        </is>
      </c>
      <c r="C2" s="8" t="inlineStr">
        <is>
          <t>Browse a platform category</t>
        </is>
      </c>
      <c r="D2" s="8" t="inlineStr">
        <is>
          <t>Use Case Testing</t>
        </is>
      </c>
      <c r="E2" s="8" t="inlineStr">
        <is>
          <t>Medium</t>
        </is>
      </c>
      <c r="F2" s="8" t="inlineStr">
        <is>
          <t>Logged in as Buyer 1.</t>
        </is>
      </c>
      <c r="G2" s="8" t="inlineStr">
        <is>
          <t>1. Open the platform category Home &amp; Living.</t>
        </is>
      </c>
      <c r="H2" s="8" t="inlineStr"/>
      <c r="I2" s="8" t="inlineStr">
        <is>
          <t>Every Active product in Home &amp; Living is listed, including P-02. No product from other categories appears.</t>
        </is>
      </c>
      <c r="J2" s="8" t="inlineStr"/>
      <c r="K2" s="5" t="n"/>
      <c r="L2" s="5" t="inlineStr">
        <is>
          <t>Not Run</t>
        </is>
      </c>
      <c r="M2" s="5" t="n"/>
    </row>
    <row r="3" ht="29.5" customHeight="1">
      <c r="A3" s="7" t="inlineStr">
        <is>
          <t>BUY-SRCH-002</t>
        </is>
      </c>
      <c r="B3" s="8" t="inlineStr">
        <is>
          <t>Browse, Search &amp; Filter</t>
        </is>
      </c>
      <c r="C3" s="8" t="inlineStr">
        <is>
          <t>Store page with store categories</t>
        </is>
      </c>
      <c r="D3" s="8" t="inlineStr">
        <is>
          <t>Use Case Testing</t>
        </is>
      </c>
      <c r="E3" s="8" t="inlineStr">
        <is>
          <t>Medium</t>
        </is>
      </c>
      <c r="F3" s="8" t="inlineStr">
        <is>
          <t>Logged in as Buyer 1.</t>
        </is>
      </c>
      <c r="G3" s="8" t="inlineStr">
        <is>
          <t>1. Open Seller 1's store page.
2. Click Home Decor, then Lamps.</t>
        </is>
      </c>
      <c r="H3" s="8" t="inlineStr"/>
      <c r="I3" s="8" t="inlineStr">
        <is>
          <t>Store categories match CAT-1 to CAT-5. Lamps shows P-03 only.</t>
        </is>
      </c>
      <c r="J3" s="8" t="inlineStr"/>
      <c r="K3" s="5" t="n"/>
      <c r="L3" s="5" t="inlineStr">
        <is>
          <t>Not Run</t>
        </is>
      </c>
      <c r="M3" s="5" t="n"/>
    </row>
    <row r="4" ht="55" customHeight="1">
      <c r="A4" s="7" t="inlineStr">
        <is>
          <t>BUY-SRCH-003</t>
        </is>
      </c>
      <c r="B4" s="8" t="inlineStr">
        <is>
          <t>Browse, Search &amp; Filter</t>
        </is>
      </c>
      <c r="C4" s="8" t="inlineStr">
        <is>
          <t>Search: exact and partial match</t>
        </is>
      </c>
      <c r="D4" s="8" t="inlineStr">
        <is>
          <t>Equivalence Partitioning</t>
        </is>
      </c>
      <c r="E4" s="8" t="inlineStr">
        <is>
          <t>High</t>
        </is>
      </c>
      <c r="F4" s="8" t="inlineStr">
        <is>
          <t>Logged in as Buyer 1.</t>
        </is>
      </c>
      <c r="G4" s="8" t="inlineStr">
        <is>
          <t>1. Search each term.</t>
        </is>
      </c>
      <c r="H4" s="8" t="inlineStr">
        <is>
          <t>Rattan Fruit Basket
rattan
RATTAN
'  rattan  '</t>
        </is>
      </c>
      <c r="I4" s="8" t="inlineStr">
        <is>
          <t>P-02 appears for all four terms (case and outer spaces do not matter).</t>
        </is>
      </c>
      <c r="J4" s="8" t="inlineStr"/>
      <c r="K4" s="5" t="n"/>
      <c r="L4" s="5" t="inlineStr">
        <is>
          <t>Not Run</t>
        </is>
      </c>
      <c r="M4" s="5" t="n"/>
    </row>
    <row r="5" ht="42.25" customHeight="1">
      <c r="A5" s="7" t="inlineStr">
        <is>
          <t>BUY-SRCH-004</t>
        </is>
      </c>
      <c r="B5" s="8" t="inlineStr">
        <is>
          <t>Browse, Search &amp; Filter</t>
        </is>
      </c>
      <c r="C5" s="8" t="inlineStr">
        <is>
          <t>Search: typo and no results</t>
        </is>
      </c>
      <c r="D5" s="8" t="inlineStr">
        <is>
          <t>Equivalence Partitioning</t>
        </is>
      </c>
      <c r="E5" s="8" t="inlineStr">
        <is>
          <t>Medium</t>
        </is>
      </c>
      <c r="F5" s="8" t="inlineStr">
        <is>
          <t>Logged in as Buyer 1.</t>
        </is>
      </c>
      <c r="G5" s="8" t="inlineStr">
        <is>
          <t>1. Search each term.</t>
        </is>
      </c>
      <c r="H5" s="8" t="inlineStr">
        <is>
          <t>Ratan baskit
zzqxw</t>
        </is>
      </c>
      <c r="I5" s="8" t="inlineStr">
        <is>
          <t>The typo returns P-02 or a 'Did you mean rattan basket?' suggestion. zzqxw shows a clear 'no results' state, not an error.</t>
        </is>
      </c>
      <c r="J5" s="8" t="inlineStr"/>
      <c r="K5" s="5" t="n"/>
      <c r="L5" s="5" t="inlineStr">
        <is>
          <t>Not Run</t>
        </is>
      </c>
      <c r="M5" s="5" t="n"/>
    </row>
    <row r="6" ht="55" customHeight="1">
      <c r="A6" s="7" t="inlineStr">
        <is>
          <t>BUY-SRCH-005</t>
        </is>
      </c>
      <c r="B6" s="8" t="inlineStr">
        <is>
          <t>Browse, Search &amp; Filter</t>
        </is>
      </c>
      <c r="C6" s="8" t="inlineStr">
        <is>
          <t>Search: special characters and injection</t>
        </is>
      </c>
      <c r="D6" s="8" t="inlineStr">
        <is>
          <t>Error Guessing</t>
        </is>
      </c>
      <c r="E6" s="8" t="inlineStr">
        <is>
          <t>High</t>
        </is>
      </c>
      <c r="F6" s="8" t="inlineStr">
        <is>
          <t>Logged in as Buyer 1.</t>
        </is>
      </c>
      <c r="G6" s="8" t="inlineStr">
        <is>
          <t>1. Search each string.
2. Check the page and browser console.</t>
        </is>
      </c>
      <c r="H6" s="8" t="inlineStr">
        <is>
          <t>%
' OR '1'='1
&lt;script&gt;alert(1)&lt;/script&gt;
"&gt;&lt;img src=x onerror=alert(1)&gt;</t>
        </is>
      </c>
      <c r="I6" s="8" t="inlineStr">
        <is>
          <t>Each returns no results or literal matches. No error page, no pop-up, no list of all products from the SQL string, and the console shows no script run.</t>
        </is>
      </c>
      <c r="J6" s="8" t="inlineStr"/>
      <c r="K6" s="5" t="n"/>
      <c r="L6" s="5" t="inlineStr">
        <is>
          <t>Not Run</t>
        </is>
      </c>
      <c r="M6" s="5" t="n"/>
    </row>
    <row r="7" ht="29.5" customHeight="1">
      <c r="A7" s="7" t="inlineStr">
        <is>
          <t>BUY-SRCH-006</t>
        </is>
      </c>
      <c r="B7" s="8" t="inlineStr">
        <is>
          <t>Browse, Search &amp; Filter</t>
        </is>
      </c>
      <c r="C7" s="8" t="inlineStr">
        <is>
          <t>Empty search</t>
        </is>
      </c>
      <c r="D7" s="8" t="inlineStr">
        <is>
          <t>Error Guessing</t>
        </is>
      </c>
      <c r="E7" s="8" t="inlineStr">
        <is>
          <t>Low</t>
        </is>
      </c>
      <c r="F7" s="8" t="inlineStr">
        <is>
          <t>Logged in as Buyer 1.</t>
        </is>
      </c>
      <c r="G7" s="8" t="inlineStr">
        <is>
          <t>1. Click Search with an empty box and with spaces only.</t>
        </is>
      </c>
      <c r="H7" s="8" t="inlineStr"/>
      <c r="I7" s="8" t="inlineStr">
        <is>
          <t>The search is not submitted (or the normal listing is shown). No error page.</t>
        </is>
      </c>
      <c r="J7" s="8" t="inlineStr"/>
      <c r="K7" s="5" t="n"/>
      <c r="L7" s="5" t="inlineStr">
        <is>
          <t>Not Run</t>
        </is>
      </c>
      <c r="M7" s="5" t="n"/>
    </row>
    <row r="8" ht="67.75" customHeight="1">
      <c r="A8" s="7" t="inlineStr">
        <is>
          <t>BUY-SRCH-007</t>
        </is>
      </c>
      <c r="B8" s="8" t="inlineStr">
        <is>
          <t>Browse, Search &amp; Filter</t>
        </is>
      </c>
      <c r="C8" s="8" t="inlineStr">
        <is>
          <t>Price range filter</t>
        </is>
      </c>
      <c r="D8" s="8" t="inlineStr">
        <is>
          <t>Boundary Value Analysis</t>
        </is>
      </c>
      <c r="E8" s="8" t="inlineStr">
        <is>
          <t>High</t>
        </is>
      </c>
      <c r="F8" s="8" t="inlineStr">
        <is>
          <t>Logged in as Buyer 1.</t>
        </is>
      </c>
      <c r="G8" s="8" t="inlineStr">
        <is>
          <t>1. Apply each price range.</t>
        </is>
      </c>
      <c r="H8" s="8" t="inlineStr">
        <is>
          <t>₱300 – ₱450 (P-02 included)
₱451 – ₱1,000 (P-02 excluded)
₱450 – ₱450 (P-02 only)
Min ₱1,000, Max ₱100
Min -1</t>
        </is>
      </c>
      <c r="I8" s="8" t="inlineStr">
        <is>
          <t>Range ends are inclusive. Min greater than Max and negative values are rejected with a message and the results are not filtered by them.</t>
        </is>
      </c>
      <c r="J8" s="8" t="inlineStr"/>
      <c r="K8" s="5" t="n"/>
      <c r="L8" s="5" t="inlineStr">
        <is>
          <t>Not Run</t>
        </is>
      </c>
      <c r="M8" s="5" t="n"/>
    </row>
    <row r="9" ht="42.25" customHeight="1">
      <c r="A9" s="7" t="inlineStr">
        <is>
          <t>BUY-SRCH-008</t>
        </is>
      </c>
      <c r="B9" s="8" t="inlineStr">
        <is>
          <t>Browse, Search &amp; Filter</t>
        </is>
      </c>
      <c r="C9" s="8" t="inlineStr">
        <is>
          <t>Combined filters</t>
        </is>
      </c>
      <c r="D9" s="8" t="inlineStr">
        <is>
          <t>Decision Table</t>
        </is>
      </c>
      <c r="E9" s="8" t="inlineStr">
        <is>
          <t>Medium</t>
        </is>
      </c>
      <c r="F9" s="8" t="inlineStr">
        <is>
          <t>Logged in as Buyer 1.</t>
        </is>
      </c>
      <c r="G9" s="8" t="inlineStr">
        <is>
          <t>1. Apply rating 4+, category Home &amp; Living and location Metro Manila together.
2. Clear one filter at a time.</t>
        </is>
      </c>
      <c r="H9" s="8" t="inlineStr"/>
      <c r="I9" s="8" t="inlineStr">
        <is>
          <t>Only products matching all active filters are shown. Clearing filters widens the results correctly.</t>
        </is>
      </c>
      <c r="J9" s="8" t="inlineStr"/>
      <c r="K9" s="5" t="n"/>
      <c r="L9" s="5" t="inlineStr">
        <is>
          <t>Not Run</t>
        </is>
      </c>
      <c r="M9" s="5" t="n"/>
    </row>
    <row r="10" ht="42.25" customHeight="1">
      <c r="A10" s="7" t="inlineStr">
        <is>
          <t>BUY-SRCH-009</t>
        </is>
      </c>
      <c r="B10" s="8" t="inlineStr">
        <is>
          <t>Browse, Search &amp; Filter</t>
        </is>
      </c>
      <c r="C10" s="8" t="inlineStr">
        <is>
          <t>Sort and pagination</t>
        </is>
      </c>
      <c r="D10" s="8" t="inlineStr">
        <is>
          <t>Equivalence Partitioning</t>
        </is>
      </c>
      <c r="E10" s="8" t="inlineStr">
        <is>
          <t>Medium</t>
        </is>
      </c>
      <c r="F10" s="8" t="inlineStr">
        <is>
          <t>Logged in as Buyer 1.</t>
        </is>
      </c>
      <c r="G10" s="8" t="inlineStr">
        <is>
          <t>1. Sort by price low–high, high–low, latest and best-selling.
2. Go to page 2 and back.</t>
        </is>
      </c>
      <c r="H10" s="8" t="inlineStr"/>
      <c r="I10" s="8" t="inlineStr">
        <is>
          <t>Each sort orders the results correctly. No product repeats or disappears between pages.</t>
        </is>
      </c>
      <c r="J10" s="8" t="inlineStr"/>
      <c r="K10" s="5" t="n"/>
      <c r="L10" s="5" t="inlineStr">
        <is>
          <t>Not Run</t>
        </is>
      </c>
      <c r="M10" s="5" t="n"/>
    </row>
    <row r="11" ht="55" customHeight="1">
      <c r="A11" s="7" t="inlineStr">
        <is>
          <t>BUY-SRCH-010</t>
        </is>
      </c>
      <c r="B11" s="8" t="inlineStr">
        <is>
          <t>Browse, Search &amp; Filter</t>
        </is>
      </c>
      <c r="C11" s="8" t="inlineStr">
        <is>
          <t>Inactive, deleted and draft products never appear</t>
        </is>
      </c>
      <c r="D11" s="8" t="inlineStr">
        <is>
          <t>Error Guessing</t>
        </is>
      </c>
      <c r="E11" s="8" t="inlineStr">
        <is>
          <t>High</t>
        </is>
      </c>
      <c r="F11" s="8" t="inlineStr">
        <is>
          <t>Seller 1 has one inactive product, one deleted product and one draft.</t>
        </is>
      </c>
      <c r="G11" s="8" t="inlineStr">
        <is>
          <t>1. Search for each by exact name.
2. Browse their category and the store page.
3. Open each product's old URL.</t>
        </is>
      </c>
      <c r="H11" s="8" t="inlineStr"/>
      <c r="I11" s="8" t="inlineStr">
        <is>
          <t>None appears in search, category or store pages. Each URL shows 'unavailable' or 'not found'.</t>
        </is>
      </c>
      <c r="J11" s="8" t="inlineStr"/>
      <c r="K11" s="5" t="n"/>
      <c r="L11" s="5" t="inlineStr">
        <is>
          <t>Not Run</t>
        </is>
      </c>
      <c r="M11" s="5" t="n"/>
    </row>
    <row r="12" ht="29.5" customHeight="1">
      <c r="A12" s="7" t="inlineStr">
        <is>
          <t>BUY-SRCH-011</t>
        </is>
      </c>
      <c r="B12" s="8" t="inlineStr">
        <is>
          <t>Browse, Search &amp; Filter</t>
        </is>
      </c>
      <c r="C12" s="8" t="inlineStr">
        <is>
          <t>Products of a vacation store</t>
        </is>
      </c>
      <c r="D12" s="8" t="inlineStr">
        <is>
          <t>Equivalence Partitioning</t>
        </is>
      </c>
      <c r="E12" s="8" t="inlineStr">
        <is>
          <t>Low</t>
        </is>
      </c>
      <c r="F12" s="8" t="inlineStr">
        <is>
          <t>Seller 1 is on vacation.</t>
        </is>
      </c>
      <c r="G12" s="8" t="inlineStr">
        <is>
          <t>1. Search for P-02.</t>
        </is>
      </c>
      <c r="H12" s="8" t="inlineStr"/>
      <c r="I12" s="8" t="inlineStr">
        <is>
          <t>P-02 appears with the 'On vacation' label and cannot be added to the cart.</t>
        </is>
      </c>
      <c r="J12" s="8" t="inlineStr">
        <is>
          <t>A18</t>
        </is>
      </c>
      <c r="K12" s="5" t="n"/>
      <c r="L12" s="5" t="inlineStr">
        <is>
          <t>Not Run</t>
        </is>
      </c>
      <c r="M12" s="5" t="n"/>
    </row>
  </sheetData>
  <autoFilter ref="A1:M12"/>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93.25" customHeight="1">
      <c r="A2" s="7" t="inlineStr">
        <is>
          <t>BUY-PDP-001</t>
        </is>
      </c>
      <c r="B2" s="8" t="inlineStr">
        <is>
          <t>Product Detail Page</t>
        </is>
      </c>
      <c r="C2" s="8" t="inlineStr">
        <is>
          <t>All variation types must be selected</t>
        </is>
      </c>
      <c r="D2" s="8" t="inlineStr">
        <is>
          <t>Decision Table</t>
        </is>
      </c>
      <c r="E2" s="8" t="inlineStr">
        <is>
          <t>High</t>
        </is>
      </c>
      <c r="F2" s="8" t="inlineStr">
        <is>
          <t>Logged in as Buyer 1. P-01 is open.</t>
        </is>
      </c>
      <c r="G2" s="8" t="inlineStr">
        <is>
          <t>1. Click Add to Cart with nothing selected.
2. Select Color only and click Add to Cart.
3. Select Size too and click Add to Cart.
4. Repeat the first two steps with Buy Now.</t>
        </is>
      </c>
      <c r="H2" s="8" t="inlineStr"/>
      <c r="I2" s="8" t="inlineStr">
        <is>
          <t>Without both selections, Add to Cart and Buy Now show 'Please select a variation' and nothing is added. With both, the item is added once.</t>
        </is>
      </c>
      <c r="J2" s="8" t="inlineStr"/>
      <c r="K2" s="5" t="n"/>
      <c r="L2" s="5" t="inlineStr">
        <is>
          <t>Not Run</t>
        </is>
      </c>
      <c r="M2" s="5" t="n"/>
    </row>
    <row r="3" ht="29.5" customHeight="1">
      <c r="A3" s="7" t="inlineStr">
        <is>
          <t>BUY-PDP-002</t>
        </is>
      </c>
      <c r="B3" s="8" t="inlineStr">
        <is>
          <t>Product Detail Page</t>
        </is>
      </c>
      <c r="C3" s="8" t="inlineStr">
        <is>
          <t>Selecting a variant updates price, stock and image</t>
        </is>
      </c>
      <c r="D3" s="8" t="inlineStr">
        <is>
          <t>Equivalence Partitioning</t>
        </is>
      </c>
      <c r="E3" s="8" t="inlineStr">
        <is>
          <t>High</t>
        </is>
      </c>
      <c r="F3" s="8" t="inlineStr">
        <is>
          <t>Logged in as Buyer 1.</t>
        </is>
      </c>
      <c r="G3" s="8" t="inlineStr">
        <is>
          <t>1. Select Natural-S, then Natural-L, then Black-S.</t>
        </is>
      </c>
      <c r="H3" s="8" t="inlineStr">
        <is>
          <t>P-01</t>
        </is>
      </c>
      <c r="I3" s="8" t="inlineStr">
        <is>
          <t>Price: ₱199 → ₱299 → ₱199. Stock: 10 → 5 → 10. Image switches to the colour's image.</t>
        </is>
      </c>
      <c r="J3" s="8" t="inlineStr"/>
      <c r="K3" s="5" t="n"/>
      <c r="L3" s="5" t="inlineStr">
        <is>
          <t>Not Run</t>
        </is>
      </c>
      <c r="M3" s="5" t="n"/>
    </row>
    <row r="4" ht="29.5" customHeight="1">
      <c r="A4" s="7" t="inlineStr">
        <is>
          <t>BUY-PDP-003</t>
        </is>
      </c>
      <c r="B4" s="8" t="inlineStr">
        <is>
          <t>Product Detail Page</t>
        </is>
      </c>
      <c r="C4" s="8" t="inlineStr">
        <is>
          <t>Out-of-stock variant disabled</t>
        </is>
      </c>
      <c r="D4" s="8" t="inlineStr">
        <is>
          <t>Equivalence Partitioning</t>
        </is>
      </c>
      <c r="E4" s="8" t="inlineStr">
        <is>
          <t>High</t>
        </is>
      </c>
      <c r="F4" s="8" t="inlineStr">
        <is>
          <t>Logged in as Buyer 1.</t>
        </is>
      </c>
      <c r="G4" s="8" t="inlineStr">
        <is>
          <t>1. Select Black and try to click M.</t>
        </is>
      </c>
      <c r="H4" s="8" t="inlineStr">
        <is>
          <t>Black-M stock 0</t>
        </is>
      </c>
      <c r="I4" s="8" t="inlineStr">
        <is>
          <t>M is disabled for Black and cannot be selected.</t>
        </is>
      </c>
      <c r="J4" s="8" t="inlineStr"/>
      <c r="K4" s="5" t="n"/>
      <c r="L4" s="5" t="inlineStr">
        <is>
          <t>Not Run</t>
        </is>
      </c>
      <c r="M4" s="5" t="n"/>
    </row>
    <row r="5" ht="93.25" customHeight="1">
      <c r="A5" s="7" t="inlineStr">
        <is>
          <t>BUY-PDP-004</t>
        </is>
      </c>
      <c r="B5" s="8" t="inlineStr">
        <is>
          <t>Product Detail Page</t>
        </is>
      </c>
      <c r="C5" s="8" t="inlineStr">
        <is>
          <t>Quantity limits</t>
        </is>
      </c>
      <c r="D5" s="8" t="inlineStr">
        <is>
          <t>Boundary Value Analysis</t>
        </is>
      </c>
      <c r="E5" s="8" t="inlineStr">
        <is>
          <t>High</t>
        </is>
      </c>
      <c r="F5" s="8" t="inlineStr">
        <is>
          <t>Logged in as Buyer 1. P-02 stock is 20.</t>
        </is>
      </c>
      <c r="G5" s="8" t="inlineStr">
        <is>
          <t>1. Type each quantity and click Add to Cart.
2. Use the + button to go past 20.</t>
        </is>
      </c>
      <c r="H5" s="8" t="inlineStr">
        <is>
          <t>0 (reject)
-1 (reject)
1 (accept)
20 (accept)
21 (reject)
1.5 (reject)
abc (reject)</t>
        </is>
      </c>
      <c r="I5" s="8" t="inlineStr">
        <is>
          <t>Only 1 and 20 are added. The + button stops at 20. Invalid values show a message and the cart is unchanged.</t>
        </is>
      </c>
      <c r="J5" s="8" t="inlineStr">
        <is>
          <t>A17</t>
        </is>
      </c>
      <c r="K5" s="5" t="n"/>
      <c r="L5" s="5" t="inlineStr">
        <is>
          <t>Not Run</t>
        </is>
      </c>
      <c r="M5" s="5" t="n"/>
    </row>
    <row r="6" ht="29.5" customHeight="1">
      <c r="A6" s="7" t="inlineStr">
        <is>
          <t>BUY-PDP-005</t>
        </is>
      </c>
      <c r="B6" s="8" t="inlineStr">
        <is>
          <t>Product Detail Page</t>
        </is>
      </c>
      <c r="C6" s="8" t="inlineStr">
        <is>
          <t>Per-buyer purchase limit</t>
        </is>
      </c>
      <c r="D6" s="8" t="inlineStr">
        <is>
          <t>Boundary Value Analysis</t>
        </is>
      </c>
      <c r="E6" s="8" t="inlineStr">
        <is>
          <t>High</t>
        </is>
      </c>
      <c r="F6" s="8" t="inlineStr">
        <is>
          <t>Logged in as Buyer 1. Buyer 1 has not bought P-07 before.</t>
        </is>
      </c>
      <c r="G6" s="8" t="inlineStr">
        <is>
          <t>1. Add 2 × P-07 and buy them.
2. Try to add 1 more P-07.</t>
        </is>
      </c>
      <c r="H6" s="8" t="inlineStr">
        <is>
          <t>P-07 limit 2</t>
        </is>
      </c>
      <c r="I6" s="8" t="inlineStr">
        <is>
          <t>The first 2 are bought. The 3rd is blocked with a limit message, including in a new cart.</t>
        </is>
      </c>
      <c r="J6" s="8" t="inlineStr"/>
      <c r="K6" s="5" t="n"/>
      <c r="L6" s="5" t="inlineStr">
        <is>
          <t>Not Run</t>
        </is>
      </c>
      <c r="M6" s="5" t="n"/>
    </row>
    <row r="7" ht="42.25" customHeight="1">
      <c r="A7" s="7" t="inlineStr">
        <is>
          <t>BUY-PDP-006</t>
        </is>
      </c>
      <c r="B7" s="8" t="inlineStr">
        <is>
          <t>Product Detail Page</t>
        </is>
      </c>
      <c r="C7" s="8" t="inlineStr">
        <is>
          <t>Sale price, countdown and vouchers shown</t>
        </is>
      </c>
      <c r="D7" s="8" t="inlineStr">
        <is>
          <t>Equivalence Partitioning</t>
        </is>
      </c>
      <c r="E7" s="8" t="inlineStr">
        <is>
          <t>Medium</t>
        </is>
      </c>
      <c r="F7" s="8" t="inlineStr">
        <is>
          <t>A flash sale is live on P-02 (₱299). MCH50 is claimable.</t>
        </is>
      </c>
      <c r="G7" s="8" t="inlineStr">
        <is>
          <t>1. Open P-02.</t>
        </is>
      </c>
      <c r="H7" s="8" t="inlineStr"/>
      <c r="I7" s="8" t="inlineStr">
        <is>
          <t>Shows ₱299 with ₱450 struck through, a countdown to the slot end, the flash units left, and MCH50 with a Claim button.</t>
        </is>
      </c>
      <c r="J7" s="8" t="inlineStr">
        <is>
          <t>A5</t>
        </is>
      </c>
      <c r="K7" s="5" t="n"/>
      <c r="L7" s="5" t="inlineStr">
        <is>
          <t>Not Run</t>
        </is>
      </c>
      <c r="M7" s="5" t="n"/>
    </row>
    <row r="8" ht="42.25" customHeight="1">
      <c r="A8" s="7" t="inlineStr">
        <is>
          <t>BUY-PDP-007</t>
        </is>
      </c>
      <c r="B8" s="8" t="inlineStr">
        <is>
          <t>Product Detail Page</t>
        </is>
      </c>
      <c r="C8" s="8" t="inlineStr">
        <is>
          <t>Buy Now checks out only that item</t>
        </is>
      </c>
      <c r="D8" s="8" t="inlineStr">
        <is>
          <t>Use Case Testing</t>
        </is>
      </c>
      <c r="E8" s="8" t="inlineStr">
        <is>
          <t>Medium</t>
        </is>
      </c>
      <c r="F8" s="8" t="inlineStr">
        <is>
          <t>Logged in as Buyer 1. Cart already has P-05.</t>
        </is>
      </c>
      <c r="G8" s="8" t="inlineStr">
        <is>
          <t>1. Select P-01 Natural-M and click Buy Now.</t>
        </is>
      </c>
      <c r="H8" s="8" t="inlineStr"/>
      <c r="I8" s="8" t="inlineStr">
        <is>
          <t>Checkout opens with only P-01 Natural-M × 1. P-05 stays in the cart and is not in this checkout.</t>
        </is>
      </c>
      <c r="J8" s="8" t="inlineStr"/>
      <c r="K8" s="5" t="n"/>
      <c r="L8" s="5" t="inlineStr">
        <is>
          <t>Not Run</t>
        </is>
      </c>
      <c r="M8" s="5" t="n"/>
    </row>
    <row r="9" ht="29.5" customHeight="1">
      <c r="A9" s="7" t="inlineStr">
        <is>
          <t>BUY-PDP-008</t>
        </is>
      </c>
      <c r="B9" s="8" t="inlineStr">
        <is>
          <t>Product Detail Page</t>
        </is>
      </c>
      <c r="C9" s="8" t="inlineStr">
        <is>
          <t>Product page of an unavailable product</t>
        </is>
      </c>
      <c r="D9" s="8" t="inlineStr">
        <is>
          <t>Error Guessing</t>
        </is>
      </c>
      <c r="E9" s="8" t="inlineStr">
        <is>
          <t>Medium</t>
        </is>
      </c>
      <c r="F9" s="8" t="inlineStr">
        <is>
          <t>Logged in as Buyer 1.</t>
        </is>
      </c>
      <c r="G9" s="8" t="inlineStr">
        <is>
          <t>1. Open the URL of a deleted product and of an inactive product.</t>
        </is>
      </c>
      <c r="H9" s="8" t="inlineStr"/>
      <c r="I9" s="8" t="inlineStr">
        <is>
          <t>Both show a clear 'unavailable' page with no Add to Cart. No error page.</t>
        </is>
      </c>
      <c r="J9" s="8" t="inlineStr"/>
      <c r="K9" s="5" t="n"/>
      <c r="L9" s="5" t="inlineStr">
        <is>
          <t>Not Run</t>
        </is>
      </c>
      <c r="M9" s="5" t="n"/>
    </row>
  </sheetData>
  <autoFilter ref="A1:M9"/>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BUY-WISH-001</t>
        </is>
      </c>
      <c r="B2" s="8" t="inlineStr">
        <is>
          <t>Wishlist &amp; Follow Store</t>
        </is>
      </c>
      <c r="C2" s="8" t="inlineStr">
        <is>
          <t>Add and remove a wishlist item</t>
        </is>
      </c>
      <c r="D2" s="8" t="inlineStr">
        <is>
          <t>Use Case Testing</t>
        </is>
      </c>
      <c r="E2" s="8" t="inlineStr">
        <is>
          <t>Medium</t>
        </is>
      </c>
      <c r="F2" s="8" t="inlineStr">
        <is>
          <t>Logged in as Buyer 1.</t>
        </is>
      </c>
      <c r="G2" s="8" t="inlineStr">
        <is>
          <t>1. Add P-02 to the wishlist.
2. Open Wishlist.
3. Remove P-02 and refresh.</t>
        </is>
      </c>
      <c r="H2" s="8" t="inlineStr"/>
      <c r="I2" s="8" t="inlineStr">
        <is>
          <t>P-02 appears once, then is gone after removal. The heart on P-02's page matches each state.</t>
        </is>
      </c>
      <c r="J2" s="8" t="inlineStr"/>
      <c r="K2" s="5" t="n"/>
      <c r="L2" s="5" t="inlineStr">
        <is>
          <t>Not Run</t>
        </is>
      </c>
      <c r="M2" s="5" t="n"/>
    </row>
    <row r="3" ht="42.25" customHeight="1">
      <c r="A3" s="7" t="inlineStr">
        <is>
          <t>BUY-WISH-002</t>
        </is>
      </c>
      <c r="B3" s="8" t="inlineStr">
        <is>
          <t>Wishlist &amp; Follow Store</t>
        </is>
      </c>
      <c r="C3" s="8" t="inlineStr">
        <is>
          <t>Add the same item twice quickly</t>
        </is>
      </c>
      <c r="D3" s="8" t="inlineStr">
        <is>
          <t>Error Guessing</t>
        </is>
      </c>
      <c r="E3" s="8" t="inlineStr">
        <is>
          <t>Low</t>
        </is>
      </c>
      <c r="F3" s="8" t="inlineStr">
        <is>
          <t>Logged in as Buyer 1.</t>
        </is>
      </c>
      <c r="G3" s="8" t="inlineStr">
        <is>
          <t>1. Double-click the wishlist heart on P-02.
2. Open Wishlist.</t>
        </is>
      </c>
      <c r="H3" s="8" t="inlineStr"/>
      <c r="I3" s="8" t="inlineStr">
        <is>
          <t>P-02 appears at most once, and the heart reflects the final state.</t>
        </is>
      </c>
      <c r="J3" s="8" t="inlineStr">
        <is>
          <t>A37</t>
        </is>
      </c>
      <c r="K3" s="5" t="n"/>
      <c r="L3" s="5" t="inlineStr">
        <is>
          <t>Not Run</t>
        </is>
      </c>
      <c r="M3" s="5" t="n"/>
    </row>
    <row r="4" ht="42.25" customHeight="1">
      <c r="A4" s="7" t="inlineStr">
        <is>
          <t>BUY-WISH-003</t>
        </is>
      </c>
      <c r="B4" s="8" t="inlineStr">
        <is>
          <t>Wishlist &amp; Follow Store</t>
        </is>
      </c>
      <c r="C4" s="8" t="inlineStr">
        <is>
          <t>Wishlist item goes out of stock or is deleted</t>
        </is>
      </c>
      <c r="D4" s="8" t="inlineStr">
        <is>
          <t>State Transition</t>
        </is>
      </c>
      <c r="E4" s="8" t="inlineStr">
        <is>
          <t>Medium</t>
        </is>
      </c>
      <c r="F4" s="8" t="inlineStr">
        <is>
          <t>P-02 and P-05 are in Buyer 1's wishlist.</t>
        </is>
      </c>
      <c r="G4" s="8" t="inlineStr">
        <is>
          <t>1. Seller 1 sets P-02 stock to 0. Seller 2 deletes P-05.
2. Open Wishlist.</t>
        </is>
      </c>
      <c r="H4" s="8" t="inlineStr"/>
      <c r="I4" s="8" t="inlineStr">
        <is>
          <t>P-02 shows Sold out with Add to Cart disabled. P-05 stays listed as Unavailable with no Add to Cart. The page shows no error.</t>
        </is>
      </c>
      <c r="J4" s="8" t="inlineStr"/>
      <c r="K4" s="5" t="n"/>
      <c r="L4" s="5" t="inlineStr">
        <is>
          <t>Not Run</t>
        </is>
      </c>
      <c r="M4" s="5" t="n"/>
    </row>
    <row r="5" ht="55" customHeight="1">
      <c r="A5" s="7" t="inlineStr">
        <is>
          <t>BUY-WISH-004</t>
        </is>
      </c>
      <c r="B5" s="8" t="inlineStr">
        <is>
          <t>Wishlist &amp; Follow Store</t>
        </is>
      </c>
      <c r="C5" s="8" t="inlineStr">
        <is>
          <t>Follow and unfollow a store</t>
        </is>
      </c>
      <c r="D5" s="8" t="inlineStr">
        <is>
          <t>Use Case Testing</t>
        </is>
      </c>
      <c r="E5" s="8" t="inlineStr">
        <is>
          <t>Medium</t>
        </is>
      </c>
      <c r="F5" s="8" t="inlineStr">
        <is>
          <t>Logged in as Buyer 1. Seller 1 has N followers.</t>
        </is>
      </c>
      <c r="G5" s="8" t="inlineStr">
        <is>
          <t>1. Follow Seller 1.
2. Check the follower count and Following list.
3. Unfollow and check again.</t>
        </is>
      </c>
      <c r="H5" s="8" t="inlineStr"/>
      <c r="I5" s="8" t="inlineStr">
        <is>
          <t>Count becomes N+1 and Seller 1 is in Following; after unfollowing, N and removed.</t>
        </is>
      </c>
      <c r="J5" s="8" t="inlineStr"/>
      <c r="K5" s="5" t="n"/>
      <c r="L5" s="5" t="inlineStr">
        <is>
          <t>Not Run</t>
        </is>
      </c>
      <c r="M5" s="5" t="n"/>
    </row>
    <row r="6" ht="29.5" customHeight="1">
      <c r="A6" s="7" t="inlineStr">
        <is>
          <t>BUY-WISH-005</t>
        </is>
      </c>
      <c r="B6" s="8" t="inlineStr">
        <is>
          <t>Wishlist &amp; Follow Store</t>
        </is>
      </c>
      <c r="C6" s="8" t="inlineStr">
        <is>
          <t>Wishlist and follow require login</t>
        </is>
      </c>
      <c r="D6" s="8" t="inlineStr">
        <is>
          <t>Error Guessing</t>
        </is>
      </c>
      <c r="E6" s="8" t="inlineStr">
        <is>
          <t>Low</t>
        </is>
      </c>
      <c r="F6" s="8" t="inlineStr">
        <is>
          <t>Logged out.</t>
        </is>
      </c>
      <c r="G6" s="8" t="inlineStr">
        <is>
          <t>1. Click the wishlist heart on P-02.
2. Click Follow on Seller 1.</t>
        </is>
      </c>
      <c r="H6" s="8" t="inlineStr"/>
      <c r="I6" s="8" t="inlineStr">
        <is>
          <t>Each opens the login page; nothing is saved without an account.</t>
        </is>
      </c>
      <c r="J6" s="8" t="inlineStr"/>
      <c r="K6" s="5" t="n"/>
      <c r="L6" s="5" t="inlineStr">
        <is>
          <t>Not Run</t>
        </is>
      </c>
      <c r="M6" s="5" t="n"/>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BUY-CART-001</t>
        </is>
      </c>
      <c r="B2" s="8" t="inlineStr">
        <is>
          <t>Cart</t>
        </is>
      </c>
      <c r="C2" s="8" t="inlineStr">
        <is>
          <t>Same variant added twice merges</t>
        </is>
      </c>
      <c r="D2" s="8" t="inlineStr">
        <is>
          <t>Equivalence Partitioning</t>
        </is>
      </c>
      <c r="E2" s="8" t="inlineStr">
        <is>
          <t>High</t>
        </is>
      </c>
      <c r="F2" s="8" t="inlineStr">
        <is>
          <t>Logged in as Buyer 1. Cart is empty.</t>
        </is>
      </c>
      <c r="G2" s="8" t="inlineStr">
        <is>
          <t>1. Add P-01 Natural-M × 1.
2. Add P-01 Natural-M × 2.
3. Open the cart.</t>
        </is>
      </c>
      <c r="H2" s="8" t="inlineStr"/>
      <c r="I2" s="8" t="inlineStr">
        <is>
          <t>One line, Natural-M × 3, subtotal ₱747.00.</t>
        </is>
      </c>
      <c r="J2" s="8" t="inlineStr"/>
      <c r="K2" s="5" t="n"/>
      <c r="L2" s="5" t="inlineStr">
        <is>
          <t>Not Run</t>
        </is>
      </c>
      <c r="M2" s="5" t="n"/>
    </row>
    <row r="3" ht="29.5" customHeight="1">
      <c r="A3" s="7" t="inlineStr">
        <is>
          <t>BUY-CART-002</t>
        </is>
      </c>
      <c r="B3" s="8" t="inlineStr">
        <is>
          <t>Cart</t>
        </is>
      </c>
      <c r="C3" s="8" t="inlineStr">
        <is>
          <t>Different variants stay separate</t>
        </is>
      </c>
      <c r="D3" s="8" t="inlineStr">
        <is>
          <t>Equivalence Partitioning</t>
        </is>
      </c>
      <c r="E3" s="8" t="inlineStr">
        <is>
          <t>High</t>
        </is>
      </c>
      <c r="F3" s="8" t="inlineStr">
        <is>
          <t>Logged in as Buyer 1. Cart is empty.</t>
        </is>
      </c>
      <c r="G3" s="8" t="inlineStr">
        <is>
          <t>1. Add P-01 Natural-M and P-01 Black-S.</t>
        </is>
      </c>
      <c r="H3" s="8" t="inlineStr"/>
      <c r="I3" s="8" t="inlineStr">
        <is>
          <t>Two separate lines with their own prices (₱249 and ₱199).</t>
        </is>
      </c>
      <c r="J3" s="8" t="inlineStr"/>
      <c r="K3" s="5" t="n"/>
      <c r="L3" s="5" t="inlineStr">
        <is>
          <t>Not Run</t>
        </is>
      </c>
      <c r="M3" s="5" t="n"/>
    </row>
    <row r="4" ht="29.5" customHeight="1">
      <c r="A4" s="7" t="inlineStr">
        <is>
          <t>BUY-CART-003</t>
        </is>
      </c>
      <c r="B4" s="8" t="inlineStr">
        <is>
          <t>Cart</t>
        </is>
      </c>
      <c r="C4" s="8" t="inlineStr">
        <is>
          <t>Items grouped by store</t>
        </is>
      </c>
      <c r="D4" s="8" t="inlineStr">
        <is>
          <t>Use Case Testing</t>
        </is>
      </c>
      <c r="E4" s="8" t="inlineStr">
        <is>
          <t>Medium</t>
        </is>
      </c>
      <c r="F4" s="8" t="inlineStr">
        <is>
          <t>Logged in as Buyer 1.</t>
        </is>
      </c>
      <c r="G4" s="8" t="inlineStr">
        <is>
          <t>1. Add P-02 (Seller 1) and P-05 (Seller 2).</t>
        </is>
      </c>
      <c r="H4" s="8" t="inlineStr"/>
      <c r="I4" s="8" t="inlineStr">
        <is>
          <t>Two store groups with store names, each listing only its own items.</t>
        </is>
      </c>
      <c r="J4" s="8" t="inlineStr"/>
      <c r="K4" s="5" t="n"/>
      <c r="L4" s="5" t="inlineStr">
        <is>
          <t>Not Run</t>
        </is>
      </c>
      <c r="M4" s="5" t="n"/>
    </row>
    <row r="5" ht="55" customHeight="1">
      <c r="A5" s="7" t="inlineStr">
        <is>
          <t>BUY-CART-004</t>
        </is>
      </c>
      <c r="B5" s="8" t="inlineStr">
        <is>
          <t>Cart</t>
        </is>
      </c>
      <c r="C5" s="8" t="inlineStr">
        <is>
          <t>Select and deselect items for checkout</t>
        </is>
      </c>
      <c r="D5" s="8" t="inlineStr">
        <is>
          <t>Decision Table</t>
        </is>
      </c>
      <c r="E5" s="8" t="inlineStr">
        <is>
          <t>High</t>
        </is>
      </c>
      <c r="F5" s="8" t="inlineStr">
        <is>
          <t>Logged in as Buyer 1. Cart has P-01 Natural-M, P-02 and P-05, all deselected.</t>
        </is>
      </c>
      <c r="G5" s="8" t="inlineStr">
        <is>
          <t>1. Select P-05 only and note the subtotal.
2. Click Seller 1's store checkbox.
3. Deselect P-05.
4. Click Check Out.</t>
        </is>
      </c>
      <c r="H5" s="8" t="inlineStr"/>
      <c r="I5" s="8" t="inlineStr">
        <is>
          <t>Subtotals: ₱399, then ₱1,098, then ₱699. Checkout contains only P-01 and P-02; P-05 stays in the cart.</t>
        </is>
      </c>
      <c r="J5" s="8" t="inlineStr"/>
      <c r="K5" s="5" t="n"/>
      <c r="L5" s="5" t="inlineStr">
        <is>
          <t>Not Run</t>
        </is>
      </c>
      <c r="M5" s="5" t="n"/>
    </row>
    <row r="6" ht="42.25" customHeight="1">
      <c r="A6" s="7" t="inlineStr">
        <is>
          <t>BUY-CART-005</t>
        </is>
      </c>
      <c r="B6" s="8" t="inlineStr">
        <is>
          <t>Cart</t>
        </is>
      </c>
      <c r="C6" s="8" t="inlineStr">
        <is>
          <t>Change quantity at the limits</t>
        </is>
      </c>
      <c r="D6" s="8" t="inlineStr">
        <is>
          <t>Boundary Value Analysis</t>
        </is>
      </c>
      <c r="E6" s="8" t="inlineStr">
        <is>
          <t>High</t>
        </is>
      </c>
      <c r="F6" s="8" t="inlineStr">
        <is>
          <t>Logged in as Buyer 1. P-02 in the cart, stock 20.</t>
        </is>
      </c>
      <c r="G6" s="8" t="inlineStr">
        <is>
          <t>1. Set quantity 0, 1, 20 and 21.</t>
        </is>
      </c>
      <c r="H6" s="8" t="inlineStr"/>
      <c r="I6" s="8" t="inlineStr">
        <is>
          <t>0 is not accepted (or asks to remove the item). 1 and 20 are accepted. 21 is blocked with 'only 20 available'.</t>
        </is>
      </c>
      <c r="J6" s="8" t="inlineStr">
        <is>
          <t>A17</t>
        </is>
      </c>
      <c r="K6" s="5" t="n"/>
      <c r="L6" s="5" t="inlineStr">
        <is>
          <t>Not Run</t>
        </is>
      </c>
      <c r="M6" s="5" t="n"/>
    </row>
    <row r="7" ht="29.5" customHeight="1">
      <c r="A7" s="7" t="inlineStr">
        <is>
          <t>BUY-CART-006</t>
        </is>
      </c>
      <c r="B7" s="8" t="inlineStr">
        <is>
          <t>Cart</t>
        </is>
      </c>
      <c r="C7" s="8" t="inlineStr">
        <is>
          <t>Price changes while in the cart</t>
        </is>
      </c>
      <c r="D7" s="8" t="inlineStr">
        <is>
          <t>State Transition</t>
        </is>
      </c>
      <c r="E7" s="8" t="inlineStr">
        <is>
          <t>High</t>
        </is>
      </c>
      <c r="F7" s="8" t="inlineStr">
        <is>
          <t>P-02 (₱450) in the cart.</t>
        </is>
      </c>
      <c r="G7" s="8" t="inlineStr">
        <is>
          <t>1. Seller 1 changes P-02 to ₱420.
2. Refresh the cart.</t>
        </is>
      </c>
      <c r="H7" s="8" t="inlineStr"/>
      <c r="I7" s="8" t="inlineStr">
        <is>
          <t>The cart shows ₱420.00 and the subtotal updates.</t>
        </is>
      </c>
      <c r="J7" s="8" t="inlineStr"/>
      <c r="K7" s="5" t="n"/>
      <c r="L7" s="5" t="inlineStr">
        <is>
          <t>Not Run</t>
        </is>
      </c>
      <c r="M7" s="5" t="n"/>
    </row>
    <row r="8" ht="67.75" customHeight="1">
      <c r="A8" s="7" t="inlineStr">
        <is>
          <t>BUY-CART-007</t>
        </is>
      </c>
      <c r="B8" s="8" t="inlineStr">
        <is>
          <t>Cart</t>
        </is>
      </c>
      <c r="C8" s="8" t="inlineStr">
        <is>
          <t>Item goes out of stock or is deleted while in the cart</t>
        </is>
      </c>
      <c r="D8" s="8" t="inlineStr">
        <is>
          <t>State Transition</t>
        </is>
      </c>
      <c r="E8" s="8" t="inlineStr">
        <is>
          <t>High</t>
        </is>
      </c>
      <c r="F8" s="8" t="inlineStr">
        <is>
          <t>P-02 and P-05 in the cart, plus P-06.</t>
        </is>
      </c>
      <c r="G8" s="8" t="inlineStr">
        <is>
          <t>1. Seller 1 sets P-02 stock to 0. Seller 2 deletes P-05.
2. Open the cart and try to select P-02 and P-05.
3. Check out P-06.</t>
        </is>
      </c>
      <c r="H8" s="8" t="inlineStr"/>
      <c r="I8" s="8" t="inlineStr">
        <is>
          <t>P-02 and P-05 are marked unavailable and cannot be selected. P-06 checks out normally.</t>
        </is>
      </c>
      <c r="J8" s="8" t="inlineStr"/>
      <c r="K8" s="5" t="n"/>
      <c r="L8" s="5" t="inlineStr">
        <is>
          <t>Not Run</t>
        </is>
      </c>
      <c r="M8" s="5" t="n"/>
    </row>
    <row r="9" ht="29.5" customHeight="1">
      <c r="A9" s="7" t="inlineStr">
        <is>
          <t>BUY-CART-008</t>
        </is>
      </c>
      <c r="B9" s="8" t="inlineStr">
        <is>
          <t>Cart</t>
        </is>
      </c>
      <c r="C9" s="8" t="inlineStr">
        <is>
          <t>Cart persists after logout and on another device</t>
        </is>
      </c>
      <c r="D9" s="8" t="inlineStr">
        <is>
          <t>State Transition</t>
        </is>
      </c>
      <c r="E9" s="8" t="inlineStr">
        <is>
          <t>Medium</t>
        </is>
      </c>
      <c r="F9" s="8" t="inlineStr">
        <is>
          <t>Logged in as Buyer 1. Cart has 2 items.</t>
        </is>
      </c>
      <c r="G9" s="8" t="inlineStr">
        <is>
          <t>1. Log out and back in.
2. Log in on another browser.</t>
        </is>
      </c>
      <c r="H9" s="8" t="inlineStr"/>
      <c r="I9" s="8" t="inlineStr">
        <is>
          <t>The same 2 items and quantities appear in both places.</t>
        </is>
      </c>
      <c r="J9" s="8" t="inlineStr"/>
      <c r="K9" s="5" t="n"/>
      <c r="L9" s="5" t="inlineStr">
        <is>
          <t>Not Run</t>
        </is>
      </c>
      <c r="M9" s="5" t="n"/>
    </row>
    <row r="10" ht="29.5" customHeight="1">
      <c r="A10" s="7" t="inlineStr">
        <is>
          <t>BUY-CART-009</t>
        </is>
      </c>
      <c r="B10" s="8" t="inlineStr">
        <is>
          <t>Cart</t>
        </is>
      </c>
      <c r="C10" s="8" t="inlineStr">
        <is>
          <t>Remove an item</t>
        </is>
      </c>
      <c r="D10" s="8" t="inlineStr">
        <is>
          <t>Use Case Testing</t>
        </is>
      </c>
      <c r="E10" s="8" t="inlineStr">
        <is>
          <t>Low</t>
        </is>
      </c>
      <c r="F10" s="8" t="inlineStr">
        <is>
          <t>Logged in as Buyer 1.</t>
        </is>
      </c>
      <c r="G10" s="8" t="inlineStr">
        <is>
          <t>1. Click Delete on a line and confirm.</t>
        </is>
      </c>
      <c r="H10" s="8" t="inlineStr"/>
      <c r="I10" s="8" t="inlineStr">
        <is>
          <t>The line is gone after refresh and the subtotal updates.</t>
        </is>
      </c>
      <c r="J10" s="8" t="inlineStr"/>
      <c r="K10" s="5" t="n"/>
      <c r="L10" s="5" t="inlineStr">
        <is>
          <t>Not Run</t>
        </is>
      </c>
      <c r="M10" s="5" t="n"/>
    </row>
    <row r="11" ht="42.25" customHeight="1">
      <c r="A11" s="7" t="inlineStr">
        <is>
          <t>BUY-CART-010</t>
        </is>
      </c>
      <c r="B11" s="8" t="inlineStr">
        <is>
          <t>Cart</t>
        </is>
      </c>
      <c r="C11" s="8" t="inlineStr">
        <is>
          <t>Cannot change another buyer's cart</t>
        </is>
      </c>
      <c r="D11" s="8" t="inlineStr">
        <is>
          <t>Error Guessing</t>
        </is>
      </c>
      <c r="E11" s="8" t="inlineStr">
        <is>
          <t>High</t>
        </is>
      </c>
      <c r="F11" s="8" t="inlineStr">
        <is>
          <t>Logged in as Buyer 1.</t>
        </is>
      </c>
      <c r="G11" s="8" t="inlineStr">
        <is>
          <t>1. Capture the update-quantity request and change the cart line ID to one of Buyer 2's.</t>
        </is>
      </c>
      <c r="H11" s="8" t="inlineStr"/>
      <c r="I11" s="8" t="inlineStr">
        <is>
          <t>Rejected (403 or not found). Buyer 2's cart is unchanged.</t>
        </is>
      </c>
      <c r="J11" s="8" t="inlineStr">
        <is>
          <t>A22</t>
        </is>
      </c>
      <c r="K11" s="5" t="n"/>
      <c r="L11" s="5" t="inlineStr">
        <is>
          <t>Not Run</t>
        </is>
      </c>
      <c r="M11" s="5" t="n"/>
    </row>
  </sheetData>
  <autoFilter ref="A1:M11"/>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BUY-VOU-001</t>
        </is>
      </c>
      <c r="B2" s="8" t="inlineStr">
        <is>
          <t>Vouchers &amp; Promotions</t>
        </is>
      </c>
      <c r="C2" s="8" t="inlineStr">
        <is>
          <t>Claim a voucher into the wallet</t>
        </is>
      </c>
      <c r="D2" s="8" t="inlineStr">
        <is>
          <t>Use Case Testing</t>
        </is>
      </c>
      <c r="E2" s="8" t="inlineStr">
        <is>
          <t>High</t>
        </is>
      </c>
      <c r="F2" s="8" t="inlineStr">
        <is>
          <t>Logged in as Buyer 1.</t>
        </is>
      </c>
      <c r="G2" s="8" t="inlineStr">
        <is>
          <t>1. On Seller 1's store page, claim MCH50.
2. Open My Vouchers.
3. Try to claim MCH50 again.</t>
        </is>
      </c>
      <c r="H2" s="8" t="inlineStr"/>
      <c r="I2" s="8" t="inlineStr">
        <is>
          <t>MCH50 is in the wallet with its rule and end date. The button changes to Claimed and a second claim is not possible.</t>
        </is>
      </c>
      <c r="J2" s="8" t="inlineStr"/>
      <c r="K2" s="5" t="n"/>
      <c r="L2" s="5" t="inlineStr">
        <is>
          <t>Not Run</t>
        </is>
      </c>
      <c r="M2" s="5" t="n"/>
    </row>
    <row r="3" ht="29.5" customHeight="1">
      <c r="A3" s="7" t="inlineStr">
        <is>
          <t>BUY-VOU-002</t>
        </is>
      </c>
      <c r="B3" s="8" t="inlineStr">
        <is>
          <t>Vouchers &amp; Promotions</t>
        </is>
      </c>
      <c r="C3" s="8" t="inlineStr">
        <is>
          <t>Apply a store voucher</t>
        </is>
      </c>
      <c r="D3" s="8" t="inlineStr">
        <is>
          <t>Use Case Testing</t>
        </is>
      </c>
      <c r="E3" s="8" t="inlineStr">
        <is>
          <t>High</t>
        </is>
      </c>
      <c r="F3" s="8" t="inlineStr">
        <is>
          <t>Logged in as Buyer 1. MCH50 claimed. Cart: P-02 (₱450).</t>
        </is>
      </c>
      <c r="G3" s="8" t="inlineStr">
        <is>
          <t>1. Open checkout and apply MCH50.</t>
        </is>
      </c>
      <c r="H3" s="8" t="inlineStr"/>
      <c r="I3" s="8" t="inlineStr">
        <is>
          <t>Seller 1's group shows −₱50.00 and the total is ₱450 + ₱50 shipping − ₱50 = ₱450.00.</t>
        </is>
      </c>
      <c r="J3" s="8" t="inlineStr"/>
      <c r="K3" s="5" t="n"/>
      <c r="L3" s="5" t="inlineStr">
        <is>
          <t>Not Run</t>
        </is>
      </c>
      <c r="M3" s="5" t="n"/>
    </row>
    <row r="4" ht="93.25" customHeight="1">
      <c r="A4" s="7" t="inlineStr">
        <is>
          <t>BUY-VOU-003</t>
        </is>
      </c>
      <c r="B4" s="8" t="inlineStr">
        <is>
          <t>Vouchers &amp; Promotions</t>
        </is>
      </c>
      <c r="C4" s="8" t="inlineStr">
        <is>
          <t>Stacking per the agreed rule</t>
        </is>
      </c>
      <c r="D4" s="8" t="inlineStr">
        <is>
          <t>Decision Table</t>
        </is>
      </c>
      <c r="E4" s="8" t="inlineStr">
        <is>
          <t>High</t>
        </is>
      </c>
      <c r="F4" s="8" t="inlineStr">
        <is>
          <t>Logged in as Buyer 1. Cart holds the worked checkout example items (Seller 1: Tote Natural-M, Rattan Basket; Seller 2: USB-C Charger). MCH50, PLAT100 and FREESHIP are claimed. ADDR-1 is default.</t>
        </is>
      </c>
      <c r="G4" s="8" t="inlineStr">
        <is>
          <t>1. Apply MCH50, PLAT100 and FREESHIP.
2. Select MCH10 for Seller 1 as well.
3. Apply RVSECRET to Seller 2.</t>
        </is>
      </c>
      <c r="H4" s="8" t="inlineStr">
        <is>
          <t>Worked checkout example</t>
        </is>
      </c>
      <c r="I4" s="8" t="inlineStr">
        <is>
          <t>MCH50 + PLAT100 + FREESHIP apply; total ₱1,083.00. Selecting MCH10 replaces MCH50 (Seller 1 ₱699 ≥ ₱500 → −₱69.90; total ₱1,063.10); never both. RVSECRET is not applicable (Seller 2 subtotal ₱399 &lt; ₱1,000).</t>
        </is>
      </c>
      <c r="J4" s="8" t="inlineStr">
        <is>
          <t>A2</t>
        </is>
      </c>
      <c r="K4" s="5" t="n"/>
      <c r="L4" s="5" t="inlineStr">
        <is>
          <t>Not Run</t>
        </is>
      </c>
      <c r="M4" s="5" t="n"/>
    </row>
    <row r="5" ht="80.5" customHeight="1">
      <c r="A5" s="7" t="inlineStr">
        <is>
          <t>BUY-VOU-004</t>
        </is>
      </c>
      <c r="B5" s="8" t="inlineStr">
        <is>
          <t>Vouchers &amp; Promotions</t>
        </is>
      </c>
      <c r="C5" s="8" t="inlineStr">
        <is>
          <t>Minimum spend at the boundary</t>
        </is>
      </c>
      <c r="D5" s="8" t="inlineStr">
        <is>
          <t>Boundary Value Analysis</t>
        </is>
      </c>
      <c r="E5" s="8" t="inlineStr">
        <is>
          <t>High</t>
        </is>
      </c>
      <c r="F5" s="8" t="inlineStr">
        <is>
          <t>Logged in as Buyer 1. MCH50 claimed (min ₱300). Only check the checkout page; do not place these orders (MCH50 is 1 per buyer).</t>
        </is>
      </c>
      <c r="G5" s="8" t="inlineStr">
        <is>
          <t>1. Seller 1 sets P-02 price to ₱299.99. Check out 1 × P-02 and try MCH50.
2. Seller 1 sets the price to ₱300.00. Check out again.
3. Seller 1 sets the price to ₱300.01. Check out again.</t>
        </is>
      </c>
      <c r="H5" s="8" t="inlineStr">
        <is>
          <t>P-02 at ₱299.99 / ₱300.00 / ₱300.01</t>
        </is>
      </c>
      <c r="I5" s="8" t="inlineStr">
        <is>
          <t>₱299.99: not applicable, with 'Spend ₱0.01 more'. ₱300.00 and ₱300.01: ₱50.00 off.</t>
        </is>
      </c>
      <c r="J5" s="8" t="inlineStr"/>
      <c r="K5" s="5" t="n"/>
      <c r="L5" s="5" t="inlineStr">
        <is>
          <t>Not Run</t>
        </is>
      </c>
      <c r="M5" s="5" t="n"/>
    </row>
    <row r="6" ht="55" customHeight="1">
      <c r="A6" s="7" t="inlineStr">
        <is>
          <t>BUY-VOU-005</t>
        </is>
      </c>
      <c r="B6" s="8" t="inlineStr">
        <is>
          <t>Vouchers &amp; Promotions</t>
        </is>
      </c>
      <c r="C6" s="8" t="inlineStr">
        <is>
          <t>Expired, not started, limit reached, invalid code</t>
        </is>
      </c>
      <c r="D6" s="8" t="inlineStr">
        <is>
          <t>Equivalence Partitioning</t>
        </is>
      </c>
      <c r="E6" s="8" t="inlineStr">
        <is>
          <t>High</t>
        </is>
      </c>
      <c r="F6" s="8" t="inlineStr">
        <is>
          <t>Logged in as Buyer 1.</t>
        </is>
      </c>
      <c r="G6" s="8" t="inlineStr">
        <is>
          <t>1. Try to apply each voucher.</t>
        </is>
      </c>
      <c r="H6" s="8" t="inlineStr">
        <is>
          <t>MCHOLD (expired)
MCHSOON (starts tomorrow)
MCHMAX (total limit reached)
NOSUCHCODE (invalid)</t>
        </is>
      </c>
      <c r="I6" s="8" t="inlineStr">
        <is>
          <t>Each is rejected with its own specific message. No discount is applied.</t>
        </is>
      </c>
      <c r="J6" s="8" t="inlineStr"/>
      <c r="K6" s="5" t="n"/>
      <c r="L6" s="5" t="inlineStr">
        <is>
          <t>Not Run</t>
        </is>
      </c>
      <c r="M6" s="5" t="n"/>
    </row>
    <row r="7" ht="29.5" customHeight="1">
      <c r="A7" s="7" t="inlineStr">
        <is>
          <t>BUY-VOU-006</t>
        </is>
      </c>
      <c r="B7" s="8" t="inlineStr">
        <is>
          <t>Vouchers &amp; Promotions</t>
        </is>
      </c>
      <c r="C7" s="8" t="inlineStr">
        <is>
          <t>Per-buyer limit reached</t>
        </is>
      </c>
      <c r="D7" s="8" t="inlineStr">
        <is>
          <t>Equivalence Partitioning</t>
        </is>
      </c>
      <c r="E7" s="8" t="inlineStr">
        <is>
          <t>Medium</t>
        </is>
      </c>
      <c r="F7" s="8" t="inlineStr">
        <is>
          <t>Buyer 1 used MCH50 on a Completed order.</t>
        </is>
      </c>
      <c r="G7" s="8" t="inlineStr">
        <is>
          <t>1. Try MCH50 on a new order.</t>
        </is>
      </c>
      <c r="H7" s="8" t="inlineStr"/>
      <c r="I7" s="8" t="inlineStr">
        <is>
          <t>Rejected: already used. Buyer 2 can still use it.</t>
        </is>
      </c>
      <c r="J7" s="8" t="inlineStr"/>
      <c r="K7" s="5" t="n"/>
      <c r="L7" s="5" t="inlineStr">
        <is>
          <t>Not Run</t>
        </is>
      </c>
      <c r="M7" s="5" t="n"/>
    </row>
    <row r="8" ht="42.25" customHeight="1">
      <c r="A8" s="7" t="inlineStr">
        <is>
          <t>BUY-VOU-007</t>
        </is>
      </c>
      <c r="B8" s="8" t="inlineStr">
        <is>
          <t>Vouchers &amp; Promotions</t>
        </is>
      </c>
      <c r="C8" s="8" t="inlineStr">
        <is>
          <t>Removing an item drops below the minimum spend</t>
        </is>
      </c>
      <c r="D8" s="8" t="inlineStr">
        <is>
          <t>State Transition</t>
        </is>
      </c>
      <c r="E8" s="8" t="inlineStr">
        <is>
          <t>High</t>
        </is>
      </c>
      <c r="F8" s="8" t="inlineStr">
        <is>
          <t>MCH50 applied to a ₱450 checkout (P-02).</t>
        </is>
      </c>
      <c r="G8" s="8" t="inlineStr">
        <is>
          <t>1. Go back, replace P-02 with P-01 Natural-S (₱199).
2. Return to checkout.</t>
        </is>
      </c>
      <c r="H8" s="8" t="inlineStr"/>
      <c r="I8" s="8" t="inlineStr">
        <is>
          <t>MCH50 is removed automatically with a notice. Total is ₱199 + ₱50 = ₱249.00.</t>
        </is>
      </c>
      <c r="J8" s="8" t="inlineStr"/>
      <c r="K8" s="5" t="n"/>
      <c r="L8" s="5" t="inlineStr">
        <is>
          <t>Not Run</t>
        </is>
      </c>
      <c r="M8" s="5" t="n"/>
    </row>
    <row r="9" ht="67.75" customHeight="1">
      <c r="A9" s="7" t="inlineStr">
        <is>
          <t>BUY-VOU-008</t>
        </is>
      </c>
      <c r="B9" s="8" t="inlineStr">
        <is>
          <t>Vouchers &amp; Promotions</t>
        </is>
      </c>
      <c r="C9" s="8" t="inlineStr">
        <is>
          <t>Percentage voucher respects its cap</t>
        </is>
      </c>
      <c r="D9" s="8" t="inlineStr">
        <is>
          <t>Boundary Value Analysis</t>
        </is>
      </c>
      <c r="E9" s="8" t="inlineStr">
        <is>
          <t>High</t>
        </is>
      </c>
      <c r="F9" s="8" t="inlineStr">
        <is>
          <t>Logged in as Buyer 1. MCH10 claimed (10%, cap ₱100, min ₱500). Only check the checkout page; do not place these orders.</t>
        </is>
      </c>
      <c r="G9" s="8" t="inlineStr">
        <is>
          <t>1. Seller 1 sets P-02 price to ₱499.99; check out 1 × P-02 with MCH10.
2. Set ₱999.00 and check out.
3. Set ₱1,000.00 and check out.
4. Check out 1 × P-03 (₱1,250).</t>
        </is>
      </c>
      <c r="H9" s="8" t="inlineStr">
        <is>
          <t>P-02 at ₱499.99 / ₱999.00 / ₱1,000.00; P-03</t>
        </is>
      </c>
      <c r="I9" s="8" t="inlineStr">
        <is>
          <t>₱499.99: not applicable. ₱999.00 → ₱99.90 off. ₱1,000.00 → ₱100.00 off. ₱1,250 → ₱100.00 off (cap, not ₱125.00).</t>
        </is>
      </c>
      <c r="J9" s="8" t="inlineStr"/>
      <c r="K9" s="5" t="n"/>
      <c r="L9" s="5" t="inlineStr">
        <is>
          <t>Not Run</t>
        </is>
      </c>
      <c r="M9" s="5" t="n"/>
    </row>
    <row r="10" ht="55" customHeight="1">
      <c r="A10" s="7" t="inlineStr">
        <is>
          <t>BUY-VOU-009</t>
        </is>
      </c>
      <c r="B10" s="8" t="inlineStr">
        <is>
          <t>Vouchers &amp; Promotions</t>
        </is>
      </c>
      <c r="C10" s="8" t="inlineStr">
        <is>
          <t>Shipping voucher larger than shipping</t>
        </is>
      </c>
      <c r="D10" s="8" t="inlineStr">
        <is>
          <t>Boundary Value Analysis</t>
        </is>
      </c>
      <c r="E10" s="8" t="inlineStr">
        <is>
          <t>Medium</t>
        </is>
      </c>
      <c r="F10" s="8" t="inlineStr">
        <is>
          <t>Logged in as Buyer 1. FREESHIP claimed (up to ₱50, min ₱300).</t>
        </is>
      </c>
      <c r="G10" s="8" t="inlineStr">
        <is>
          <t>1. Check out 1 × P-02 to ADDR-1 (0.8 kg, ₱50 shipping) with FREESHIP.
2. Check out P-02 + P-01 Natural-M to ADDR-1 (1.2 kg, ₱65 shipping) with FREESHIP.</t>
        </is>
      </c>
      <c r="H10" s="8" t="inlineStr"/>
      <c r="I10" s="8" t="inlineStr">
        <is>
          <t>₱50 shipping → ₱0.00 shipping (not negative). ₱65 shipping → ₱15.00. Merchandise amounts are unchanged.</t>
        </is>
      </c>
      <c r="J10" s="8" t="inlineStr"/>
      <c r="K10" s="5" t="n"/>
      <c r="L10" s="5" t="inlineStr">
        <is>
          <t>Not Run</t>
        </is>
      </c>
      <c r="M10" s="5" t="n"/>
    </row>
    <row r="11" ht="42.25" customHeight="1">
      <c r="A11" s="7" t="inlineStr">
        <is>
          <t>BUY-VOU-010</t>
        </is>
      </c>
      <c r="B11" s="8" t="inlineStr">
        <is>
          <t>Vouchers &amp; Promotions</t>
        </is>
      </c>
      <c r="C11" s="8" t="inlineStr">
        <is>
          <t>Total never negative</t>
        </is>
      </c>
      <c r="D11" s="8" t="inlineStr">
        <is>
          <t>Error Guessing</t>
        </is>
      </c>
      <c r="E11" s="8" t="inlineStr">
        <is>
          <t>Medium</t>
        </is>
      </c>
      <c r="F11" s="8" t="inlineStr">
        <is>
          <t>Seller 1 sets P-02 price to ₱100.00 and creates voucher MCHT100: ₱100 off, min spend ₱100.</t>
        </is>
      </c>
      <c r="G11" s="8" t="inlineStr">
        <is>
          <t>1. Check out 1 × P-02 with MCHT100.</t>
        </is>
      </c>
      <c r="H11" s="8" t="inlineStr"/>
      <c r="I11" s="8" t="inlineStr">
        <is>
          <t>Merchandise total is ₱0.00, never negative; shipping is still charged.</t>
        </is>
      </c>
      <c r="J11" s="8" t="inlineStr"/>
      <c r="K11" s="5" t="n"/>
      <c r="L11" s="5" t="inlineStr">
        <is>
          <t>Not Run</t>
        </is>
      </c>
      <c r="M11" s="5" t="n"/>
    </row>
    <row r="12" ht="29.5" customHeight="1">
      <c r="A12" s="7" t="inlineStr">
        <is>
          <t>BUY-VOU-011</t>
        </is>
      </c>
      <c r="B12" s="8" t="inlineStr">
        <is>
          <t>Vouchers &amp; Promotions</t>
        </is>
      </c>
      <c r="C12" s="8" t="inlineStr">
        <is>
          <t>Voucher on items already on sale</t>
        </is>
      </c>
      <c r="D12" s="8" t="inlineStr">
        <is>
          <t>Decision Table</t>
        </is>
      </c>
      <c r="E12" s="8" t="inlineStr">
        <is>
          <t>Medium</t>
        </is>
      </c>
      <c r="F12" s="8" t="inlineStr">
        <is>
          <t>P-02 on sale at ₱360. MCH50 claimed.</t>
        </is>
      </c>
      <c r="G12" s="8" t="inlineStr">
        <is>
          <t>1. Check out 1 × P-02 with MCH50.</t>
        </is>
      </c>
      <c r="H12" s="8" t="inlineStr"/>
      <c r="I12" s="8" t="inlineStr">
        <is>
          <t>MCH50 applies (₱360 ≥ ₱300). Merchandise ₱310.00, total ₱360.00 with ₱50 shipping.</t>
        </is>
      </c>
      <c r="J12" s="8" t="inlineStr">
        <is>
          <t>A4</t>
        </is>
      </c>
      <c r="K12" s="5" t="n"/>
      <c r="L12" s="5" t="inlineStr">
        <is>
          <t>Not Run</t>
        </is>
      </c>
      <c r="M12" s="5" t="n"/>
    </row>
    <row r="13" ht="29.5" customHeight="1">
      <c r="A13" s="7" t="inlineStr">
        <is>
          <t>BUY-VOU-012</t>
        </is>
      </c>
      <c r="B13" s="8" t="inlineStr">
        <is>
          <t>Vouchers &amp; Promotions</t>
        </is>
      </c>
      <c r="C13" s="8" t="inlineStr">
        <is>
          <t>Voucher returned after cancellation</t>
        </is>
      </c>
      <c r="D13" s="8" t="inlineStr">
        <is>
          <t>State Transition</t>
        </is>
      </c>
      <c r="E13" s="8" t="inlineStr">
        <is>
          <t>Medium</t>
        </is>
      </c>
      <c r="F13" s="8" t="inlineStr">
        <is>
          <t>An order used MCH50 and is still cancellable.</t>
        </is>
      </c>
      <c r="G13" s="8" t="inlineStr">
        <is>
          <t>1. Cancel the order.
2. Open My Vouchers.</t>
        </is>
      </c>
      <c r="H13" s="8" t="inlineStr"/>
      <c r="I13" s="8" t="inlineStr">
        <is>
          <t>MCH50 is back in the wallet, usable again before it expires.</t>
        </is>
      </c>
      <c r="J13" s="8" t="inlineStr">
        <is>
          <t>A21</t>
        </is>
      </c>
      <c r="K13" s="5" t="n"/>
      <c r="L13" s="5" t="inlineStr">
        <is>
          <t>Not Run</t>
        </is>
      </c>
      <c r="M13" s="5" t="n"/>
    </row>
  </sheetData>
  <autoFilter ref="A1:M13"/>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93.25" customHeight="1">
      <c r="A2" s="7" t="inlineStr">
        <is>
          <t>BUY-CHK-001</t>
        </is>
      </c>
      <c r="B2" s="8" t="inlineStr">
        <is>
          <t>Checkout</t>
        </is>
      </c>
      <c r="C2" s="8" t="inlineStr">
        <is>
          <t>Checkout with the worked example</t>
        </is>
      </c>
      <c r="D2" s="8" t="inlineStr">
        <is>
          <t>Use Case Testing</t>
        </is>
      </c>
      <c r="E2" s="8" t="inlineStr">
        <is>
          <t>High</t>
        </is>
      </c>
      <c r="F2" s="8" t="inlineStr">
        <is>
          <t>Logged in as Buyer 1. Cart holds the worked checkout example items (Seller 1: Tote Natural-M, Rattan Basket; Seller 2: USB-C Charger). MCH50, PLAT100 and FREESHIP are claimed. ADDR-1 is default.</t>
        </is>
      </c>
      <c r="G2" s="8" t="inlineStr">
        <is>
          <t>1. Open checkout with ADDR-1.
2. Apply MCH50, PLAT100 and FREESHIP.
3. Choose COD and click Place Order.
4. Open both new orders.</t>
        </is>
      </c>
      <c r="H2" s="8" t="inlineStr">
        <is>
          <t>Worked checkout example</t>
        </is>
      </c>
      <c r="I2" s="8" t="inlineStr">
        <is>
          <t>Summary: merchandise ₱1,098.00, shipping ₱185.00 (₱65 + ₱120), store voucher −₱50.00, platform voucher −₱100.00, shipping voucher −₱50.00, total ₱1,083.00. Two orders are created, one per store, whose totals add up to ₱1,083.00. Cart no longer has these items.</t>
        </is>
      </c>
      <c r="J2" s="8" t="inlineStr">
        <is>
          <t>A2, A8, A20</t>
        </is>
      </c>
      <c r="K2" s="5" t="n"/>
      <c r="L2" s="5" t="inlineStr">
        <is>
          <t>Not Run</t>
        </is>
      </c>
      <c r="M2" s="5" t="n"/>
    </row>
    <row r="3" ht="29.5" customHeight="1">
      <c r="A3" s="7" t="inlineStr">
        <is>
          <t>BUY-CHK-002</t>
        </is>
      </c>
      <c r="B3" s="8" t="inlineStr">
        <is>
          <t>Checkout</t>
        </is>
      </c>
      <c r="C3" s="8" t="inlineStr">
        <is>
          <t>Shipping fee per store and per address</t>
        </is>
      </c>
      <c r="D3" s="8" t="inlineStr">
        <is>
          <t>Equivalence Partitioning</t>
        </is>
      </c>
      <c r="E3" s="8" t="inlineStr">
        <is>
          <t>High</t>
        </is>
      </c>
      <c r="F3" s="8" t="inlineStr">
        <is>
          <t>Logged in as Buyer 1.</t>
        </is>
      </c>
      <c r="G3" s="8" t="inlineStr">
        <is>
          <t>1. Check out P-02 with ADDR-1.
2. Switch to ADDR-3.</t>
        </is>
      </c>
      <c r="H3" s="8" t="inlineStr"/>
      <c r="I3" s="8" t="inlineStr">
        <is>
          <t>ADDR-1 (NCR): ₱50.00. ADDR-3 (Visayas): ₱120.00. The total updates immediately.</t>
        </is>
      </c>
      <c r="J3" s="8" t="inlineStr">
        <is>
          <t>A20</t>
        </is>
      </c>
      <c r="K3" s="5" t="n"/>
      <c r="L3" s="5" t="inlineStr">
        <is>
          <t>Not Run</t>
        </is>
      </c>
      <c r="M3" s="5" t="n"/>
    </row>
    <row r="4" ht="29.5" customHeight="1">
      <c r="A4" s="7" t="inlineStr">
        <is>
          <t>BUY-CHK-003</t>
        </is>
      </c>
      <c r="B4" s="8" t="inlineStr">
        <is>
          <t>Checkout</t>
        </is>
      </c>
      <c r="C4" s="8" t="inlineStr">
        <is>
          <t>Shipping weight at the 1 kg boundary</t>
        </is>
      </c>
      <c r="D4" s="8" t="inlineStr">
        <is>
          <t>Boundary Value Analysis</t>
        </is>
      </c>
      <c r="E4" s="8" t="inlineStr">
        <is>
          <t>Medium</t>
        </is>
      </c>
      <c r="F4" s="8" t="inlineStr">
        <is>
          <t>Logged in as Buyer 2 (ADDR-3, Visayas).</t>
        </is>
      </c>
      <c r="G4" s="8" t="inlineStr">
        <is>
          <t>1. Check out 5 × P-05 from Seller 2.
2. Change the quantity to 6.</t>
        </is>
      </c>
      <c r="H4" s="8" t="inlineStr">
        <is>
          <t>P-05 is 0.2 kg: 5 units = 1.0 kg, 6 units = 1.2 kg</t>
        </is>
      </c>
      <c r="I4" s="8" t="inlineStr">
        <is>
          <t>1.0 kg is charged as 1 kg: ₱60.00. 1.2 kg is charged as 2 kg: ₱80.00.</t>
        </is>
      </c>
      <c r="J4" s="8" t="inlineStr">
        <is>
          <t>A20</t>
        </is>
      </c>
      <c r="K4" s="5" t="n"/>
      <c r="L4" s="5" t="inlineStr">
        <is>
          <t>Not Run</t>
        </is>
      </c>
      <c r="M4" s="5" t="n"/>
    </row>
    <row r="5" ht="42.25" customHeight="1">
      <c r="A5" s="7" t="inlineStr">
        <is>
          <t>BUY-CHK-004</t>
        </is>
      </c>
      <c r="B5" s="8" t="inlineStr">
        <is>
          <t>Checkout</t>
        </is>
      </c>
      <c r="C5" s="8" t="inlineStr">
        <is>
          <t>Unserviceable address</t>
        </is>
      </c>
      <c r="D5" s="8" t="inlineStr">
        <is>
          <t>Equivalence Partitioning</t>
        </is>
      </c>
      <c r="E5" s="8" t="inlineStr">
        <is>
          <t>High</t>
        </is>
      </c>
      <c r="F5" s="8" t="inlineStr">
        <is>
          <t>Logged in as Buyer 1.</t>
        </is>
      </c>
      <c r="G5" s="8" t="inlineStr">
        <is>
          <t>1. Select ADDR-4 (Itbayat, Batanes).</t>
        </is>
      </c>
      <c r="H5" s="8" t="inlineStr"/>
      <c r="I5" s="8" t="inlineStr">
        <is>
          <t>A message says the area is not serviceable and Place Order is disabled. No order can be created.</t>
        </is>
      </c>
      <c r="J5" s="8" t="inlineStr"/>
      <c r="K5" s="5" t="n"/>
      <c r="L5" s="5" t="inlineStr">
        <is>
          <t>Not Run</t>
        </is>
      </c>
      <c r="M5" s="5" t="n"/>
    </row>
    <row r="6" ht="42.25" customHeight="1">
      <c r="A6" s="7" t="inlineStr">
        <is>
          <t>BUY-CHK-005</t>
        </is>
      </c>
      <c r="B6" s="8" t="inlineStr">
        <is>
          <t>Checkout</t>
        </is>
      </c>
      <c r="C6" s="8" t="inlineStr">
        <is>
          <t>Note to seller length</t>
        </is>
      </c>
      <c r="D6" s="8" t="inlineStr">
        <is>
          <t>Boundary Value Analysis</t>
        </is>
      </c>
      <c r="E6" s="8" t="inlineStr">
        <is>
          <t>Low</t>
        </is>
      </c>
      <c r="F6" s="8" t="inlineStr">
        <is>
          <t>Logged in as Buyer 1.</t>
        </is>
      </c>
      <c r="G6" s="8" t="inlineStr">
        <is>
          <t>1. Enter 200 characters and place the order.
2. Try 201 characters.</t>
        </is>
      </c>
      <c r="H6" s="8" t="inlineStr">
        <is>
          <t>Note: Paki-wrap po as gift … (to 200)</t>
        </is>
      </c>
      <c r="I6" s="8" t="inlineStr">
        <is>
          <t>200 characters are saved and shown in full on the seller's order. 201 cannot be entered or is rejected.</t>
        </is>
      </c>
      <c r="J6" s="8" t="inlineStr">
        <is>
          <t>A25</t>
        </is>
      </c>
      <c r="K6" s="5" t="n"/>
      <c r="L6" s="5" t="inlineStr">
        <is>
          <t>Not Run</t>
        </is>
      </c>
      <c r="M6" s="5" t="n"/>
    </row>
    <row r="7" ht="29.5" customHeight="1">
      <c r="A7" s="7" t="inlineStr">
        <is>
          <t>BUY-CHK-006</t>
        </is>
      </c>
      <c r="B7" s="8" t="inlineStr">
        <is>
          <t>Checkout</t>
        </is>
      </c>
      <c r="C7" s="8" t="inlineStr">
        <is>
          <t>No payment method selected</t>
        </is>
      </c>
      <c r="D7" s="8" t="inlineStr">
        <is>
          <t>Equivalence Partitioning</t>
        </is>
      </c>
      <c r="E7" s="8" t="inlineStr">
        <is>
          <t>Medium</t>
        </is>
      </c>
      <c r="F7" s="8" t="inlineStr">
        <is>
          <t>Logged in as Buyer 1.</t>
        </is>
      </c>
      <c r="G7" s="8" t="inlineStr">
        <is>
          <t>1. Clear the payment method (if possible) and click Place Order.</t>
        </is>
      </c>
      <c r="H7" s="8" t="inlineStr"/>
      <c r="I7" s="8" t="inlineStr">
        <is>
          <t>Blocked until a payment method is chosen.</t>
        </is>
      </c>
      <c r="J7" s="8" t="inlineStr"/>
      <c r="K7" s="5" t="n"/>
      <c r="L7" s="5" t="inlineStr">
        <is>
          <t>Not Run</t>
        </is>
      </c>
      <c r="M7" s="5" t="n"/>
    </row>
    <row r="8" ht="42.25" customHeight="1">
      <c r="A8" s="7" t="inlineStr">
        <is>
          <t>BUY-CHK-007</t>
        </is>
      </c>
      <c r="B8" s="8" t="inlineStr">
        <is>
          <t>Checkout</t>
        </is>
      </c>
      <c r="C8" s="8" t="inlineStr">
        <is>
          <t>Double-click Place Order</t>
        </is>
      </c>
      <c r="D8" s="8" t="inlineStr">
        <is>
          <t>Error Guessing</t>
        </is>
      </c>
      <c r="E8" s="8" t="inlineStr">
        <is>
          <t>High</t>
        </is>
      </c>
      <c r="F8" s="8" t="inlineStr">
        <is>
          <t>Logged in as Buyer 1. P-02 stock is 20.</t>
        </is>
      </c>
      <c r="G8" s="8" t="inlineStr">
        <is>
          <t>1. Double-click Place Order.
2. Press Back and click Place Order again.</t>
        </is>
      </c>
      <c r="H8" s="8" t="inlineStr"/>
      <c r="I8" s="8" t="inlineStr">
        <is>
          <t>Exactly one order exists. P-02 stock is 19. The resubmit shows the existing order or a message; it does not create another.</t>
        </is>
      </c>
      <c r="J8" s="8" t="inlineStr">
        <is>
          <t>A37</t>
        </is>
      </c>
      <c r="K8" s="5" t="n"/>
      <c r="L8" s="5" t="inlineStr">
        <is>
          <t>Not Run</t>
        </is>
      </c>
      <c r="M8" s="5" t="n"/>
    </row>
    <row r="9" ht="42.25" customHeight="1">
      <c r="A9" s="7" t="inlineStr">
        <is>
          <t>BUY-CHK-008</t>
        </is>
      </c>
      <c r="B9" s="8" t="inlineStr">
        <is>
          <t>Checkout</t>
        </is>
      </c>
      <c r="C9" s="8" t="inlineStr">
        <is>
          <t>Price changed during checkout</t>
        </is>
      </c>
      <c r="D9" s="8" t="inlineStr">
        <is>
          <t>Error Guessing</t>
        </is>
      </c>
      <c r="E9" s="8" t="inlineStr">
        <is>
          <t>High</t>
        </is>
      </c>
      <c r="F9" s="8" t="inlineStr">
        <is>
          <t>Logged in as Buyer 1. Checkout page open with P-02 at ₱450.</t>
        </is>
      </c>
      <c r="G9" s="8" t="inlineStr">
        <is>
          <t>1. Seller 1 changes P-02 to ₱480.
2. Click Place Order.</t>
        </is>
      </c>
      <c r="H9" s="8" t="inlineStr"/>
      <c r="I9" s="8" t="inlineStr">
        <is>
          <t>The order is not placed at ₱450. A message shows the new price and the summary updates to ₱480 for the buyer to confirm.</t>
        </is>
      </c>
      <c r="J9" s="8" t="inlineStr"/>
      <c r="K9" s="5" t="n"/>
      <c r="L9" s="5" t="inlineStr">
        <is>
          <t>Not Run</t>
        </is>
      </c>
      <c r="M9" s="5" t="n"/>
    </row>
    <row r="10" ht="29.5" customHeight="1">
      <c r="A10" s="7" t="inlineStr">
        <is>
          <t>BUY-CHK-009</t>
        </is>
      </c>
      <c r="B10" s="8" t="inlineStr">
        <is>
          <t>Checkout</t>
        </is>
      </c>
      <c r="C10" s="8" t="inlineStr">
        <is>
          <t>Stock ran out during checkout</t>
        </is>
      </c>
      <c r="D10" s="8" t="inlineStr">
        <is>
          <t>Error Guessing</t>
        </is>
      </c>
      <c r="E10" s="8" t="inlineStr">
        <is>
          <t>High</t>
        </is>
      </c>
      <c r="F10" s="8" t="inlineStr">
        <is>
          <t>Buyer 1's checkout is open with P-03 (stock 1).</t>
        </is>
      </c>
      <c r="G10" s="8" t="inlineStr">
        <is>
          <t>1. Buyer 2 buys P-03 first.
2. Buyer 1 clicks Place Order.</t>
        </is>
      </c>
      <c r="H10" s="8" t="inlineStr"/>
      <c r="I10" s="8" t="inlineStr">
        <is>
          <t>Buyer 1's order is blocked with an out-of-stock message. Stock is 0.</t>
        </is>
      </c>
      <c r="J10" s="8" t="inlineStr">
        <is>
          <t>A3</t>
        </is>
      </c>
      <c r="K10" s="5" t="n"/>
      <c r="L10" s="5" t="inlineStr">
        <is>
          <t>Not Run</t>
        </is>
      </c>
      <c r="M10" s="5" t="n"/>
    </row>
    <row r="11" ht="42.25" customHeight="1">
      <c r="A11" s="7" t="inlineStr">
        <is>
          <t>BUY-CHK-010</t>
        </is>
      </c>
      <c r="B11" s="8" t="inlineStr">
        <is>
          <t>Checkout</t>
        </is>
      </c>
      <c r="C11" s="8" t="inlineStr">
        <is>
          <t>Voucher becomes invalid during checkout</t>
        </is>
      </c>
      <c r="D11" s="8" t="inlineStr">
        <is>
          <t>Error Guessing</t>
        </is>
      </c>
      <c r="E11" s="8" t="inlineStr">
        <is>
          <t>Medium</t>
        </is>
      </c>
      <c r="F11" s="8" t="inlineStr">
        <is>
          <t>Logged in as Buyer 1. MCH50 applied on the checkout page.</t>
        </is>
      </c>
      <c r="G11" s="8" t="inlineStr">
        <is>
          <t>1. Seller 1 ends MCH50.
2. Click Place Order.</t>
        </is>
      </c>
      <c r="H11" s="8" t="inlineStr"/>
      <c r="I11" s="8" t="inlineStr">
        <is>
          <t>The order is not placed with MCH50. A message says the voucher is no longer valid and the total is updated.</t>
        </is>
      </c>
      <c r="J11" s="8" t="inlineStr">
        <is>
          <t>A27</t>
        </is>
      </c>
      <c r="K11" s="5" t="n"/>
      <c r="L11" s="5" t="inlineStr">
        <is>
          <t>Not Run</t>
        </is>
      </c>
      <c r="M11" s="5" t="n"/>
    </row>
    <row r="12" ht="42.25" customHeight="1">
      <c r="A12" s="7" t="inlineStr">
        <is>
          <t>BUY-CHK-011</t>
        </is>
      </c>
      <c r="B12" s="8" t="inlineStr">
        <is>
          <t>Checkout</t>
        </is>
      </c>
      <c r="C12" s="8" t="inlineStr">
        <is>
          <t>Tampered price or total in the request</t>
        </is>
      </c>
      <c r="D12" s="8" t="inlineStr">
        <is>
          <t>Error Guessing</t>
        </is>
      </c>
      <c r="E12" s="8" t="inlineStr">
        <is>
          <t>High</t>
        </is>
      </c>
      <c r="F12" s="8" t="inlineStr">
        <is>
          <t>Logged in as Buyer 1.</t>
        </is>
      </c>
      <c r="G12" s="8" t="inlineStr">
        <is>
          <t>1. Capture the Place Order request and change the item price or total to ₱1.00.
2. Send it.</t>
        </is>
      </c>
      <c r="H12" s="8" t="inlineStr"/>
      <c r="I12" s="8" t="inlineStr">
        <is>
          <t>The server ignores or rejects the tampered amount. Any created order uses the real price.</t>
        </is>
      </c>
      <c r="J12" s="8" t="inlineStr">
        <is>
          <t>A22</t>
        </is>
      </c>
      <c r="K12" s="5" t="n"/>
      <c r="L12" s="5" t="inlineStr">
        <is>
          <t>Not Run</t>
        </is>
      </c>
      <c r="M12" s="5" t="n"/>
    </row>
  </sheetData>
  <autoFilter ref="A1:M12"/>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29.5" customHeight="1">
      <c r="A2" s="7" t="inlineStr">
        <is>
          <t>BUY-PAY-001</t>
        </is>
      </c>
      <c r="B2" s="8" t="inlineStr">
        <is>
          <t>Payment</t>
        </is>
      </c>
      <c r="C2" s="8" t="inlineStr">
        <is>
          <t>COD order</t>
        </is>
      </c>
      <c r="D2" s="8" t="inlineStr">
        <is>
          <t>Use Case Testing</t>
        </is>
      </c>
      <c r="E2" s="8" t="inlineStr">
        <is>
          <t>High</t>
        </is>
      </c>
      <c r="F2" s="8" t="inlineStr">
        <is>
          <t>Logged in as Buyer 1.</t>
        </is>
      </c>
      <c r="G2" s="8" t="inlineStr">
        <is>
          <t>1. Place an order for P-02 with COD.
2. Open the order.</t>
        </is>
      </c>
      <c r="H2" s="8" t="inlineStr"/>
      <c r="I2" s="8" t="inlineStr">
        <is>
          <t>The order goes straight to To Ship. Payment shows COD ₱500.00 to collect on delivery.</t>
        </is>
      </c>
      <c r="J2" s="8" t="inlineStr"/>
      <c r="K2" s="5" t="n"/>
      <c r="L2" s="5" t="inlineStr">
        <is>
          <t>Not Run</t>
        </is>
      </c>
      <c r="M2" s="5" t="n"/>
    </row>
    <row r="3" ht="42.25" customHeight="1">
      <c r="A3" s="7" t="inlineStr">
        <is>
          <t>BUY-PAY-002</t>
        </is>
      </c>
      <c r="B3" s="8" t="inlineStr">
        <is>
          <t>Payment</t>
        </is>
      </c>
      <c r="C3" s="8" t="inlineStr">
        <is>
          <t>E-wallet or card payment succeeds</t>
        </is>
      </c>
      <c r="D3" s="8" t="inlineStr">
        <is>
          <t>Use Case Testing</t>
        </is>
      </c>
      <c r="E3" s="8" t="inlineStr">
        <is>
          <t>High</t>
        </is>
      </c>
      <c r="F3" s="8" t="inlineStr">
        <is>
          <t>Logged in as Buyer 1.</t>
        </is>
      </c>
      <c r="G3" s="8" t="inlineStr">
        <is>
          <t>1. Choose the e-wallet (sandbox).
2. Complete payment.</t>
        </is>
      </c>
      <c r="H3" s="8" t="inlineStr">
        <is>
          <t>Use the gateway's sandbox account or test card</t>
        </is>
      </c>
      <c r="I3" s="8" t="inlineStr">
        <is>
          <t>The order moves To Pay → To Ship and stores a payment reference. The amount charged equals the order total exactly.</t>
        </is>
      </c>
      <c r="J3" s="8" t="inlineStr"/>
      <c r="K3" s="5" t="n"/>
      <c r="L3" s="5" t="inlineStr">
        <is>
          <t>Not Run</t>
        </is>
      </c>
      <c r="M3" s="5" t="n"/>
    </row>
    <row r="4" ht="42.25" customHeight="1">
      <c r="A4" s="7" t="inlineStr">
        <is>
          <t>BUY-PAY-003</t>
        </is>
      </c>
      <c r="B4" s="8" t="inlineStr">
        <is>
          <t>Payment</t>
        </is>
      </c>
      <c r="C4" s="8" t="inlineStr">
        <is>
          <t>Payment fails</t>
        </is>
      </c>
      <c r="D4" s="8" t="inlineStr">
        <is>
          <t>Equivalence Partitioning</t>
        </is>
      </c>
      <c r="E4" s="8" t="inlineStr">
        <is>
          <t>High</t>
        </is>
      </c>
      <c r="F4" s="8" t="inlineStr">
        <is>
          <t>Logged in as Buyer 1.</t>
        </is>
      </c>
      <c r="G4" s="8" t="inlineStr">
        <is>
          <t>1. Use the sandbox's declined card or failure option.</t>
        </is>
      </c>
      <c r="H4" s="8" t="inlineStr"/>
      <c r="I4" s="8" t="inlineStr">
        <is>
          <t>The order stays To Pay with 'Payment failed' and Pay Again. It is not marked paid and the seller cannot ship it.</t>
        </is>
      </c>
      <c r="J4" s="8" t="inlineStr"/>
      <c r="K4" s="5" t="n"/>
      <c r="L4" s="5" t="inlineStr">
        <is>
          <t>Not Run</t>
        </is>
      </c>
      <c r="M4" s="5" t="n"/>
    </row>
    <row r="5" ht="29.5" customHeight="1">
      <c r="A5" s="7" t="inlineStr">
        <is>
          <t>BUY-PAY-004</t>
        </is>
      </c>
      <c r="B5" s="8" t="inlineStr">
        <is>
          <t>Payment</t>
        </is>
      </c>
      <c r="C5" s="8" t="inlineStr">
        <is>
          <t>Buyer cancels at the gateway</t>
        </is>
      </c>
      <c r="D5" s="8" t="inlineStr">
        <is>
          <t>Equivalence Partitioning</t>
        </is>
      </c>
      <c r="E5" s="8" t="inlineStr">
        <is>
          <t>Medium</t>
        </is>
      </c>
      <c r="F5" s="8" t="inlineStr">
        <is>
          <t>Logged in as Buyer 1.</t>
        </is>
      </c>
      <c r="G5" s="8" t="inlineStr">
        <is>
          <t>1. On the gateway page click Cancel / Back.</t>
        </is>
      </c>
      <c r="H5" s="8" t="inlineStr"/>
      <c r="I5" s="8" t="inlineStr">
        <is>
          <t>Buyer returns to the order in To Pay. No duplicate order is created.</t>
        </is>
      </c>
      <c r="J5" s="8" t="inlineStr">
        <is>
          <t>A37</t>
        </is>
      </c>
      <c r="K5" s="5" t="n"/>
      <c r="L5" s="5" t="inlineStr">
        <is>
          <t>Not Run</t>
        </is>
      </c>
      <c r="M5" s="5" t="n"/>
    </row>
    <row r="6" ht="42.25" customHeight="1">
      <c r="A6" s="7" t="inlineStr">
        <is>
          <t>BUY-PAY-005</t>
        </is>
      </c>
      <c r="B6" s="8" t="inlineStr">
        <is>
          <t>Payment</t>
        </is>
      </c>
      <c r="C6" s="8" t="inlineStr">
        <is>
          <t>Browser closed on the gateway</t>
        </is>
      </c>
      <c r="D6" s="8" t="inlineStr">
        <is>
          <t>Error Guessing</t>
        </is>
      </c>
      <c r="E6" s="8" t="inlineStr">
        <is>
          <t>Medium</t>
        </is>
      </c>
      <c r="F6" s="8" t="inlineStr">
        <is>
          <t>Logged in as Buyer 1.</t>
        </is>
      </c>
      <c r="G6" s="8" t="inlineStr">
        <is>
          <t>1. Close the browser on the gateway page after paying.
2. Reopen My Orders.</t>
        </is>
      </c>
      <c r="H6" s="8" t="inlineStr"/>
      <c r="I6" s="8" t="inlineStr">
        <is>
          <t>The order shows To Ship once the gateway confirms. It is charged once only.</t>
        </is>
      </c>
      <c r="J6" s="8" t="inlineStr">
        <is>
          <t>A37</t>
        </is>
      </c>
      <c r="K6" s="5" t="n"/>
      <c r="L6" s="5" t="inlineStr">
        <is>
          <t>Not Run</t>
        </is>
      </c>
      <c r="M6" s="5" t="n"/>
    </row>
    <row r="7" ht="42.25" customHeight="1">
      <c r="A7" s="7" t="inlineStr">
        <is>
          <t>BUY-PAY-006</t>
        </is>
      </c>
      <c r="B7" s="8" t="inlineStr">
        <is>
          <t>Payment</t>
        </is>
      </c>
      <c r="C7" s="8" t="inlineStr">
        <is>
          <t>Unpaid order auto-cancels</t>
        </is>
      </c>
      <c r="D7" s="8" t="inlineStr">
        <is>
          <t>State Transition</t>
        </is>
      </c>
      <c r="E7" s="8" t="inlineStr">
        <is>
          <t>High</t>
        </is>
      </c>
      <c r="F7" s="8" t="inlineStr">
        <is>
          <t>Logged in as Buyer 1. An e-wallet order for P-02 with MCH50 is To Pay; stock is 19.</t>
        </is>
      </c>
      <c r="G7" s="8" t="inlineStr">
        <is>
          <t>1. Wait past 1 hour.
2. Check the order, P-02 stock and My Vouchers.</t>
        </is>
      </c>
      <c r="H7" s="8" t="inlineStr"/>
      <c r="I7" s="8" t="inlineStr">
        <is>
          <t>The order is Cancelled (reason: unpaid). Stock is 20. MCH50 is back in the wallet.</t>
        </is>
      </c>
      <c r="J7" s="8" t="inlineStr">
        <is>
          <t>A3, A6, A21</t>
        </is>
      </c>
      <c r="K7" s="5" t="n"/>
      <c r="L7" s="5" t="inlineStr">
        <is>
          <t>Not Run</t>
        </is>
      </c>
      <c r="M7" s="5" t="n"/>
    </row>
    <row r="8" ht="42.25" customHeight="1">
      <c r="A8" s="7" t="inlineStr">
        <is>
          <t>BUY-PAY-007</t>
        </is>
      </c>
      <c r="B8" s="8" t="inlineStr">
        <is>
          <t>Payment</t>
        </is>
      </c>
      <c r="C8" s="8" t="inlineStr">
        <is>
          <t>Pay just before vs after the auto-cancel time</t>
        </is>
      </c>
      <c r="D8" s="8" t="inlineStr">
        <is>
          <t>Boundary Value Analysis</t>
        </is>
      </c>
      <c r="E8" s="8" t="inlineStr">
        <is>
          <t>Medium</t>
        </is>
      </c>
      <c r="F8" s="8" t="inlineStr">
        <is>
          <t>Logged in as Buyer 1.</t>
        </is>
      </c>
      <c r="G8" s="8" t="inlineStr">
        <is>
          <t>1. Pay one order at 59 minutes.
2. Try to pay another at 61 minutes.</t>
        </is>
      </c>
      <c r="H8" s="8" t="inlineStr"/>
      <c r="I8" s="8" t="inlineStr">
        <is>
          <t>The 59-minute payment succeeds. The 61-minute order is already Cancelled and Pay is not available.</t>
        </is>
      </c>
      <c r="J8" s="8" t="inlineStr">
        <is>
          <t>A6</t>
        </is>
      </c>
      <c r="K8" s="5" t="n"/>
      <c r="L8" s="5" t="inlineStr">
        <is>
          <t>Not Run</t>
        </is>
      </c>
      <c r="M8" s="5" t="n"/>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BUY-TRK-001</t>
        </is>
      </c>
      <c r="B2" s="8" t="inlineStr">
        <is>
          <t>Order Tracking &amp; History</t>
        </is>
      </c>
      <c r="C2" s="8" t="inlineStr">
        <is>
          <t>Orders appear in the correct tab</t>
        </is>
      </c>
      <c r="D2" s="8" t="inlineStr">
        <is>
          <t>State Transition</t>
        </is>
      </c>
      <c r="E2" s="8" t="inlineStr">
        <is>
          <t>High</t>
        </is>
      </c>
      <c r="F2" s="8" t="inlineStr">
        <is>
          <t>Logged in as Buyer 1. Orders exist in each status.</t>
        </is>
      </c>
      <c r="G2" s="8" t="inlineStr">
        <is>
          <t>1. Open each tab: To Pay, To Ship, To Receive, Completed, Cancelled, Return/Refund.
2. Compare tab counts with rows.</t>
        </is>
      </c>
      <c r="H2" s="8" t="inlineStr"/>
      <c r="I2" s="8" t="inlineStr">
        <is>
          <t>Each order is in exactly one tab matching its status; counts match.</t>
        </is>
      </c>
      <c r="J2" s="8" t="inlineStr">
        <is>
          <t>A10</t>
        </is>
      </c>
      <c r="K2" s="5" t="n"/>
      <c r="L2" s="5" t="inlineStr">
        <is>
          <t>Not Run</t>
        </is>
      </c>
      <c r="M2" s="5" t="n"/>
    </row>
    <row r="3" ht="67.75" customHeight="1">
      <c r="A3" s="7" t="inlineStr">
        <is>
          <t>BUY-TRK-002</t>
        </is>
      </c>
      <c r="B3" s="8" t="inlineStr">
        <is>
          <t>Order Tracking &amp; History</t>
        </is>
      </c>
      <c r="C3" s="8" t="inlineStr">
        <is>
          <t>Timeline matches seller, rider and logistics updates</t>
        </is>
      </c>
      <c r="D3" s="8" t="inlineStr">
        <is>
          <t>State Transition</t>
        </is>
      </c>
      <c r="E3" s="8" t="inlineStr">
        <is>
          <t>High</t>
        </is>
      </c>
      <c r="F3" s="8" t="inlineStr">
        <is>
          <t>Logged in as Buyer 1. A COD order is Ready for Pickup.</t>
        </is>
      </c>
      <c r="G3" s="8" t="inlineStr">
        <is>
          <t>1. Have Logistics 1 assign Rider 1, Rider 1 pick up, Logistics 1 scan at hub, Rider 1 go Out for Delivery.
2. Refresh Buyer 1's order after each step.</t>
        </is>
      </c>
      <c r="H3" s="8" t="inlineStr"/>
      <c r="I3" s="8" t="inlineStr">
        <is>
          <t>Each event appears once, in order, with the time it happened. The order moves to To Receive at Picked Up.</t>
        </is>
      </c>
      <c r="J3" s="8" t="inlineStr">
        <is>
          <t>A10</t>
        </is>
      </c>
      <c r="K3" s="5" t="n"/>
      <c r="L3" s="5" t="inlineStr">
        <is>
          <t>Not Run</t>
        </is>
      </c>
      <c r="M3" s="5" t="n"/>
    </row>
    <row r="4" ht="42.25" customHeight="1">
      <c r="A4" s="7" t="inlineStr">
        <is>
          <t>BUY-TRK-003</t>
        </is>
      </c>
      <c r="B4" s="8" t="inlineStr">
        <is>
          <t>Order Tracking &amp; History</t>
        </is>
      </c>
      <c r="C4" s="8" t="inlineStr">
        <is>
          <t>Order Received button</t>
        </is>
      </c>
      <c r="D4" s="8" t="inlineStr">
        <is>
          <t>State Transition</t>
        </is>
      </c>
      <c r="E4" s="8" t="inlineStr">
        <is>
          <t>High</t>
        </is>
      </c>
      <c r="F4" s="8" t="inlineStr">
        <is>
          <t>Logged in as Buyer 1. An order is Delivered.</t>
        </is>
      </c>
      <c r="G4" s="8" t="inlineStr">
        <is>
          <t>1. Click Order Received and confirm.
2. Check Seller 1's earnings.</t>
        </is>
      </c>
      <c r="H4" s="8" t="inlineStr"/>
      <c r="I4" s="8" t="inlineStr">
        <is>
          <t>The order moves to Completed and the Rate button appears. Seller 1's earnings for it become Available.</t>
        </is>
      </c>
      <c r="J4" s="8" t="inlineStr">
        <is>
          <t>A11, A15</t>
        </is>
      </c>
      <c r="K4" s="5" t="n"/>
      <c r="L4" s="5" t="inlineStr">
        <is>
          <t>Not Run</t>
        </is>
      </c>
      <c r="M4" s="5" t="n"/>
    </row>
    <row r="5" ht="29.5" customHeight="1">
      <c r="A5" s="7" t="inlineStr">
        <is>
          <t>BUY-TRK-004</t>
        </is>
      </c>
      <c r="B5" s="8" t="inlineStr">
        <is>
          <t>Order Tracking &amp; History</t>
        </is>
      </c>
      <c r="C5" s="8" t="inlineStr">
        <is>
          <t>Order Received not available before delivery</t>
        </is>
      </c>
      <c r="D5" s="8" t="inlineStr">
        <is>
          <t>State Transition</t>
        </is>
      </c>
      <c r="E5" s="8" t="inlineStr">
        <is>
          <t>Medium</t>
        </is>
      </c>
      <c r="F5" s="8" t="inlineStr">
        <is>
          <t>Logged in as Buyer 1. An order is Out for Delivery.</t>
        </is>
      </c>
      <c r="G5" s="8" t="inlineStr">
        <is>
          <t>1. Look for Order Received.
2. Try the request directly if possible.</t>
        </is>
      </c>
      <c r="H5" s="8" t="inlineStr"/>
      <c r="I5" s="8" t="inlineStr">
        <is>
          <t>Not shown; a direct request is rejected.</t>
        </is>
      </c>
      <c r="J5" s="8" t="inlineStr">
        <is>
          <t>A11</t>
        </is>
      </c>
      <c r="K5" s="5" t="n"/>
      <c r="L5" s="5" t="inlineStr">
        <is>
          <t>Not Run</t>
        </is>
      </c>
      <c r="M5" s="5" t="n"/>
    </row>
    <row r="6" ht="29.5" customHeight="1">
      <c r="A6" s="7" t="inlineStr">
        <is>
          <t>BUY-TRK-005</t>
        </is>
      </c>
      <c r="B6" s="8" t="inlineStr">
        <is>
          <t>Order Tracking &amp; History</t>
        </is>
      </c>
      <c r="C6" s="8" t="inlineStr">
        <is>
          <t>Automatic completion</t>
        </is>
      </c>
      <c r="D6" s="8" t="inlineStr">
        <is>
          <t>Boundary Value Analysis</t>
        </is>
      </c>
      <c r="E6" s="8" t="inlineStr">
        <is>
          <t>Medium</t>
        </is>
      </c>
      <c r="F6" s="8" t="inlineStr">
        <is>
          <t>An order was Delivered.</t>
        </is>
      </c>
      <c r="G6" s="8" t="inlineStr">
        <is>
          <t>1. Check it just before and just after 7 days.</t>
        </is>
      </c>
      <c r="H6" s="8" t="inlineStr"/>
      <c r="I6" s="8" t="inlineStr">
        <is>
          <t>To Receive before 7 days; Completed after, and earnings are released.</t>
        </is>
      </c>
      <c r="J6" s="8" t="inlineStr">
        <is>
          <t>A11</t>
        </is>
      </c>
      <c r="K6" s="5" t="n"/>
      <c r="L6" s="5" t="inlineStr">
        <is>
          <t>Not Run</t>
        </is>
      </c>
      <c r="M6" s="5" t="n"/>
    </row>
    <row r="7" ht="29.5" customHeight="1">
      <c r="A7" s="7" t="inlineStr">
        <is>
          <t>BUY-TRK-006</t>
        </is>
      </c>
      <c r="B7" s="8" t="inlineStr">
        <is>
          <t>Order Tracking &amp; History</t>
        </is>
      </c>
      <c r="C7" s="8" t="inlineStr">
        <is>
          <t>Cannot open another buyer's order</t>
        </is>
      </c>
      <c r="D7" s="8" t="inlineStr">
        <is>
          <t>Error Guessing</t>
        </is>
      </c>
      <c r="E7" s="8" t="inlineStr">
        <is>
          <t>High</t>
        </is>
      </c>
      <c r="F7" s="8" t="inlineStr">
        <is>
          <t>Logged in as Buyer 1.</t>
        </is>
      </c>
      <c r="G7" s="8" t="inlineStr">
        <is>
          <t>1. Change the order ID in the URL to Buyer 2's order.</t>
        </is>
      </c>
      <c r="H7" s="8" t="inlineStr"/>
      <c r="I7" s="8" t="inlineStr">
        <is>
          <t>Denied. No details of Buyer 2's order are shown.</t>
        </is>
      </c>
      <c r="J7" s="8" t="inlineStr">
        <is>
          <t>A22</t>
        </is>
      </c>
      <c r="K7" s="5" t="n"/>
      <c r="L7" s="5" t="inlineStr">
        <is>
          <t>Not Run</t>
        </is>
      </c>
      <c r="M7" s="5" t="n"/>
    </row>
  </sheetData>
  <autoFilter ref="A1:M7"/>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BUY-CAN-001</t>
        </is>
      </c>
      <c r="B2" s="8" t="inlineStr">
        <is>
          <t>Cancellation</t>
        </is>
      </c>
      <c r="C2" s="8" t="inlineStr">
        <is>
          <t>Cancel a COD order before shipping</t>
        </is>
      </c>
      <c r="D2" s="8" t="inlineStr">
        <is>
          <t>State Transition</t>
        </is>
      </c>
      <c r="E2" s="8" t="inlineStr">
        <is>
          <t>High</t>
        </is>
      </c>
      <c r="F2" s="8" t="inlineStr">
        <is>
          <t>Logged in as Buyer 1. A COD order for 2 × P-02 is Accepted; stock is 18.</t>
        </is>
      </c>
      <c r="G2" s="8" t="inlineStr">
        <is>
          <t>1. Click Cancel, choose 'Changed my mind', confirm.
2. Check stock and Seller 1's notifications.</t>
        </is>
      </c>
      <c r="H2" s="8" t="inlineStr"/>
      <c r="I2" s="8" t="inlineStr">
        <is>
          <t>The order is Cancelled on both sides. Stock is 20. Seller 1 is notified with the reason.</t>
        </is>
      </c>
      <c r="J2" s="8" t="inlineStr">
        <is>
          <t>A3, A6, A23</t>
        </is>
      </c>
      <c r="K2" s="5" t="n"/>
      <c r="L2" s="5" t="inlineStr">
        <is>
          <t>Not Run</t>
        </is>
      </c>
      <c r="M2" s="5" t="n"/>
    </row>
    <row r="3" ht="29.5" customHeight="1">
      <c r="A3" s="7" t="inlineStr">
        <is>
          <t>BUY-CAN-002</t>
        </is>
      </c>
      <c r="B3" s="8" t="inlineStr">
        <is>
          <t>Cancellation</t>
        </is>
      </c>
      <c r="C3" s="8" t="inlineStr">
        <is>
          <t>Reason is required</t>
        </is>
      </c>
      <c r="D3" s="8" t="inlineStr">
        <is>
          <t>Equivalence Partitioning</t>
        </is>
      </c>
      <c r="E3" s="8" t="inlineStr">
        <is>
          <t>Medium</t>
        </is>
      </c>
      <c r="F3" s="8" t="inlineStr">
        <is>
          <t>Logged in as Buyer 1.</t>
        </is>
      </c>
      <c r="G3" s="8" t="inlineStr">
        <is>
          <t>1. Click Cancel and confirm without a reason.</t>
        </is>
      </c>
      <c r="H3" s="8" t="inlineStr"/>
      <c r="I3" s="8" t="inlineStr">
        <is>
          <t>Blocked until a reason is chosen. The order is unchanged.</t>
        </is>
      </c>
      <c r="J3" s="8" t="inlineStr"/>
      <c r="K3" s="5" t="n"/>
      <c r="L3" s="5" t="inlineStr">
        <is>
          <t>Not Run</t>
        </is>
      </c>
      <c r="M3" s="5" t="n"/>
    </row>
    <row r="4" ht="42.25" customHeight="1">
      <c r="A4" s="7" t="inlineStr">
        <is>
          <t>BUY-CAN-003</t>
        </is>
      </c>
      <c r="B4" s="8" t="inlineStr">
        <is>
          <t>Cancellation</t>
        </is>
      </c>
      <c r="C4" s="8" t="inlineStr">
        <is>
          <t>Cancel a prepaid order</t>
        </is>
      </c>
      <c r="D4" s="8" t="inlineStr">
        <is>
          <t>State Transition</t>
        </is>
      </c>
      <c r="E4" s="8" t="inlineStr">
        <is>
          <t>High</t>
        </is>
      </c>
      <c r="F4" s="8" t="inlineStr">
        <is>
          <t>Logged in as Buyer 1. A paid e-wallet order with MCH50 is To Ship.</t>
        </is>
      </c>
      <c r="G4" s="8" t="inlineStr">
        <is>
          <t>1. Cancel with a reason.</t>
        </is>
      </c>
      <c r="H4" s="8" t="inlineStr"/>
      <c r="I4" s="8" t="inlineStr">
        <is>
          <t>The order is Cancelled and a refund for the exact amount paid is started. MCH50 returns to the wallet.</t>
        </is>
      </c>
      <c r="J4" s="8" t="inlineStr">
        <is>
          <t>A6, A21</t>
        </is>
      </c>
      <c r="K4" s="5" t="n"/>
      <c r="L4" s="5" t="inlineStr">
        <is>
          <t>Not Run</t>
        </is>
      </c>
      <c r="M4" s="5" t="n"/>
    </row>
    <row r="5" ht="42.25" customHeight="1">
      <c r="A5" s="7" t="inlineStr">
        <is>
          <t>BUY-CAN-004</t>
        </is>
      </c>
      <c r="B5" s="8" t="inlineStr">
        <is>
          <t>Cancellation</t>
        </is>
      </c>
      <c r="C5" s="8" t="inlineStr">
        <is>
          <t>No cancel after Ready for Pickup</t>
        </is>
      </c>
      <c r="D5" s="8" t="inlineStr">
        <is>
          <t>State Transition</t>
        </is>
      </c>
      <c r="E5" s="8" t="inlineStr">
        <is>
          <t>High</t>
        </is>
      </c>
      <c r="F5" s="8" t="inlineStr">
        <is>
          <t>Logged in as Buyer 1. Seller marked Ready for Pickup.</t>
        </is>
      </c>
      <c r="G5" s="8" t="inlineStr">
        <is>
          <t>1. Look for Cancel.
2. Try the cancel request directly if possible.</t>
        </is>
      </c>
      <c r="H5" s="8" t="inlineStr"/>
      <c r="I5" s="8" t="inlineStr">
        <is>
          <t>No Cancel option; a direct request is rejected and the status is unchanged.</t>
        </is>
      </c>
      <c r="J5" s="8" t="inlineStr">
        <is>
          <t>A6</t>
        </is>
      </c>
      <c r="K5" s="5" t="n"/>
      <c r="L5" s="5" t="inlineStr">
        <is>
          <t>Not Run</t>
        </is>
      </c>
      <c r="M5" s="5" t="n"/>
    </row>
    <row r="6" ht="29.5" customHeight="1">
      <c r="A6" s="7" t="inlineStr">
        <is>
          <t>BUY-CAN-005</t>
        </is>
      </c>
      <c r="B6" s="8" t="inlineStr">
        <is>
          <t>Cancellation</t>
        </is>
      </c>
      <c r="C6" s="8" t="inlineStr">
        <is>
          <t>No cancel after shipping</t>
        </is>
      </c>
      <c r="D6" s="8" t="inlineStr">
        <is>
          <t>State Transition</t>
        </is>
      </c>
      <c r="E6" s="8" t="inlineStr">
        <is>
          <t>High</t>
        </is>
      </c>
      <c r="F6" s="8" t="inlineStr">
        <is>
          <t>Logged in as Buyer 1. Rider picked up the parcel.</t>
        </is>
      </c>
      <c r="G6" s="8" t="inlineStr">
        <is>
          <t>1. Look for Cancel.</t>
        </is>
      </c>
      <c r="H6" s="8" t="inlineStr"/>
      <c r="I6" s="8" t="inlineStr">
        <is>
          <t>No Cancel option.</t>
        </is>
      </c>
      <c r="J6" s="8" t="inlineStr">
        <is>
          <t>A6</t>
        </is>
      </c>
      <c r="K6" s="5" t="n"/>
      <c r="L6" s="5" t="inlineStr">
        <is>
          <t>Not Run</t>
        </is>
      </c>
      <c r="M6" s="5" t="n"/>
    </row>
    <row r="7" ht="29.5" customHeight="1">
      <c r="A7" s="7" t="inlineStr">
        <is>
          <t>BUY-CAN-006</t>
        </is>
      </c>
      <c r="B7" s="8" t="inlineStr">
        <is>
          <t>Cancellation</t>
        </is>
      </c>
      <c r="C7" s="8" t="inlineStr">
        <is>
          <t>Double-click Cancel</t>
        </is>
      </c>
      <c r="D7" s="8" t="inlineStr">
        <is>
          <t>Error Guessing</t>
        </is>
      </c>
      <c r="E7" s="8" t="inlineStr">
        <is>
          <t>Low</t>
        </is>
      </c>
      <c r="F7" s="8" t="inlineStr">
        <is>
          <t>Logged in as Buyer 1.</t>
        </is>
      </c>
      <c r="G7" s="8" t="inlineStr">
        <is>
          <t>1. Double-click Confirm Cancel.</t>
        </is>
      </c>
      <c r="H7" s="8" t="inlineStr"/>
      <c r="I7" s="8" t="inlineStr">
        <is>
          <t>One cancellation; stock restored once (not twice).</t>
        </is>
      </c>
      <c r="J7" s="8" t="inlineStr">
        <is>
          <t>A37</t>
        </is>
      </c>
      <c r="K7" s="5" t="n"/>
      <c r="L7" s="5" t="inlineStr">
        <is>
          <t>Not Run</t>
        </is>
      </c>
      <c r="M7" s="5" t="n"/>
    </row>
  </sheetData>
  <autoFilter ref="A1:M7"/>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BUY-RET-001</t>
        </is>
      </c>
      <c r="B2" s="8" t="inlineStr">
        <is>
          <t>Return &amp; Refund Request</t>
        </is>
      </c>
      <c r="C2" s="8" t="inlineStr">
        <is>
          <t>Request a return within the window</t>
        </is>
      </c>
      <c r="D2" s="8" t="inlineStr">
        <is>
          <t>Use Case Testing</t>
        </is>
      </c>
      <c r="E2" s="8" t="inlineStr">
        <is>
          <t>High</t>
        </is>
      </c>
      <c r="F2" s="8" t="inlineStr">
        <is>
          <t>Logged in as Buyer 1. A P-02 order was Delivered 2 days ago.</t>
        </is>
      </c>
      <c r="G2" s="8" t="inlineStr">
        <is>
          <t>1. Click Return/Refund.
2. Choose the item, reason, description and upload 2 photos.
3. Submit.</t>
        </is>
      </c>
      <c r="H2" s="8" t="inlineStr">
        <is>
          <t>Reason: Damaged item
Description: Basket arrived with a broken rim.
Photos: review_photo.jpg, product_front.jpg</t>
        </is>
      </c>
      <c r="I2" s="8" t="inlineStr">
        <is>
          <t>The request is submitted. The order moves to Return/Refund. Seller 1 is notified. The order can no longer be completed automatically while the request is open.</t>
        </is>
      </c>
      <c r="J2" s="8" t="inlineStr">
        <is>
          <t>A11, A31</t>
        </is>
      </c>
      <c r="K2" s="5" t="n"/>
      <c r="L2" s="5" t="inlineStr">
        <is>
          <t>Not Run</t>
        </is>
      </c>
      <c r="M2" s="5" t="n"/>
    </row>
    <row r="3" ht="29.5" customHeight="1">
      <c r="A3" s="7" t="inlineStr">
        <is>
          <t>BUY-RET-002</t>
        </is>
      </c>
      <c r="B3" s="8" t="inlineStr">
        <is>
          <t>Return &amp; Refund Request</t>
        </is>
      </c>
      <c r="C3" s="8" t="inlineStr">
        <is>
          <t>Return not allowed before delivery</t>
        </is>
      </c>
      <c r="D3" s="8" t="inlineStr">
        <is>
          <t>State Transition</t>
        </is>
      </c>
      <c r="E3" s="8" t="inlineStr">
        <is>
          <t>High</t>
        </is>
      </c>
      <c r="F3" s="8" t="inlineStr">
        <is>
          <t>Logged in as Buyer 1. An order is To Ship.</t>
        </is>
      </c>
      <c r="G3" s="8" t="inlineStr">
        <is>
          <t>1. Look for Return/Refund.</t>
        </is>
      </c>
      <c r="H3" s="8" t="inlineStr"/>
      <c r="I3" s="8" t="inlineStr">
        <is>
          <t>Not available.</t>
        </is>
      </c>
      <c r="J3" s="8" t="inlineStr">
        <is>
          <t>A11</t>
        </is>
      </c>
      <c r="K3" s="5" t="n"/>
      <c r="L3" s="5" t="inlineStr">
        <is>
          <t>Not Run</t>
        </is>
      </c>
      <c r="M3" s="5" t="n"/>
    </row>
    <row r="4" ht="42.25" customHeight="1">
      <c r="A4" s="7" t="inlineStr">
        <is>
          <t>BUY-RET-003</t>
        </is>
      </c>
      <c r="B4" s="8" t="inlineStr">
        <is>
          <t>Return &amp; Refund Request</t>
        </is>
      </c>
      <c r="C4" s="8" t="inlineStr">
        <is>
          <t>Return window boundary</t>
        </is>
      </c>
      <c r="D4" s="8" t="inlineStr">
        <is>
          <t>Boundary Value Analysis</t>
        </is>
      </c>
      <c r="E4" s="8" t="inlineStr">
        <is>
          <t>High</t>
        </is>
      </c>
      <c r="F4" s="8" t="inlineStr">
        <is>
          <t>Logged in as Buyer 1.</t>
        </is>
      </c>
      <c r="G4" s="8" t="inlineStr">
        <is>
          <t>1. Request on day 7 after Delivered.
2. Try on another order 7 days + 1 hour after Delivered (now Completed).</t>
        </is>
      </c>
      <c r="H4" s="8" t="inlineStr"/>
      <c r="I4" s="8" t="inlineStr">
        <is>
          <t>Allowed on day 7. Not available after the window or once Completed.</t>
        </is>
      </c>
      <c r="J4" s="8" t="inlineStr">
        <is>
          <t>A11</t>
        </is>
      </c>
      <c r="K4" s="5" t="n"/>
      <c r="L4" s="5" t="inlineStr">
        <is>
          <t>Not Run</t>
        </is>
      </c>
      <c r="M4" s="5" t="n"/>
    </row>
    <row r="5" ht="55" customHeight="1">
      <c r="A5" s="7" t="inlineStr">
        <is>
          <t>BUY-RET-004</t>
        </is>
      </c>
      <c r="B5" s="8" t="inlineStr">
        <is>
          <t>Return &amp; Refund Request</t>
        </is>
      </c>
      <c r="C5" s="8" t="inlineStr">
        <is>
          <t>Evidence and description rules</t>
        </is>
      </c>
      <c r="D5" s="8" t="inlineStr">
        <is>
          <t>Boundary Value Analysis</t>
        </is>
      </c>
      <c r="E5" s="8" t="inlineStr">
        <is>
          <t>Medium</t>
        </is>
      </c>
      <c r="F5" s="8" t="inlineStr">
        <is>
          <t>Logged in as Buyer 1.</t>
        </is>
      </c>
      <c r="G5" s="8" t="inlineStr">
        <is>
          <t>1. Submit with 0 photos.
2. Submit with 6 photos.
3. Submit a 5.1 MB photo.
4. Submit a 9-character description.</t>
        </is>
      </c>
      <c r="H5" s="8" t="inlineStr"/>
      <c r="I5" s="8" t="inlineStr">
        <is>
          <t>Each is blocked with a message. 1 to 5 valid photos and 10+ characters are required.</t>
        </is>
      </c>
      <c r="J5" s="8" t="inlineStr">
        <is>
          <t>A31</t>
        </is>
      </c>
      <c r="K5" s="5" t="n"/>
      <c r="L5" s="5" t="inlineStr">
        <is>
          <t>Not Run</t>
        </is>
      </c>
      <c r="M5" s="5" t="n"/>
    </row>
    <row r="6" ht="29.5" customHeight="1">
      <c r="A6" s="7" t="inlineStr">
        <is>
          <t>BUY-RET-005</t>
        </is>
      </c>
      <c r="B6" s="8" t="inlineStr">
        <is>
          <t>Return &amp; Refund Request</t>
        </is>
      </c>
      <c r="C6" s="8" t="inlineStr">
        <is>
          <t>Track request status</t>
        </is>
      </c>
      <c r="D6" s="8" t="inlineStr">
        <is>
          <t>State Transition</t>
        </is>
      </c>
      <c r="E6" s="8" t="inlineStr">
        <is>
          <t>Medium</t>
        </is>
      </c>
      <c r="F6" s="8" t="inlineStr">
        <is>
          <t>A request exists.</t>
        </is>
      </c>
      <c r="G6" s="8" t="inlineStr">
        <is>
          <t>1. Seller 1 rejects with a reason.
2. Open the request.</t>
        </is>
      </c>
      <c r="H6" s="8" t="inlineStr"/>
      <c r="I6" s="8" t="inlineStr">
        <is>
          <t>Status Rejected with the seller's exact reason and an Escalate button.</t>
        </is>
      </c>
      <c r="J6" s="8" t="inlineStr">
        <is>
          <t>A31</t>
        </is>
      </c>
      <c r="K6" s="5" t="n"/>
      <c r="L6" s="5" t="inlineStr">
        <is>
          <t>Not Run</t>
        </is>
      </c>
      <c r="M6" s="5" t="n"/>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BUY-RATE-001</t>
        </is>
      </c>
      <c r="B2" s="8" t="inlineStr">
        <is>
          <t>Ratings &amp; Reviews</t>
        </is>
      </c>
      <c r="C2" s="8" t="inlineStr">
        <is>
          <t>Rate a completed order</t>
        </is>
      </c>
      <c r="D2" s="8" t="inlineStr">
        <is>
          <t>Use Case Testing</t>
        </is>
      </c>
      <c r="E2" s="8" t="inlineStr">
        <is>
          <t>High</t>
        </is>
      </c>
      <c r="F2" s="8" t="inlineStr">
        <is>
          <t>Logged in as Buyer 1. An order with P-02 is Completed.</t>
        </is>
      </c>
      <c r="G2" s="8" t="inlineStr">
        <is>
          <t>1. Click Rate.
2. Choose 5 stars, add text and a photo.
3. Submit.
4. Open P-02's reviews as Buyer 2.</t>
        </is>
      </c>
      <c r="H2" s="8" t="inlineStr">
        <is>
          <t>Text: Matibay at maganda!
Photo: review_photo.jpg</t>
        </is>
      </c>
      <c r="I2" s="8" t="inlineStr">
        <is>
          <t>The review appears on P-02 with 5 stars, the text, the photo, the variant and Buyer 1's (masked) name.</t>
        </is>
      </c>
      <c r="J2" s="8" t="inlineStr">
        <is>
          <t>A12</t>
        </is>
      </c>
      <c r="K2" s="5" t="n"/>
      <c r="L2" s="5" t="inlineStr">
        <is>
          <t>Not Run</t>
        </is>
      </c>
      <c r="M2" s="5" t="n"/>
    </row>
    <row r="3" ht="29.5" customHeight="1">
      <c r="A3" s="7" t="inlineStr">
        <is>
          <t>BUY-RATE-002</t>
        </is>
      </c>
      <c r="B3" s="8" t="inlineStr">
        <is>
          <t>Ratings &amp; Reviews</t>
        </is>
      </c>
      <c r="C3" s="8" t="inlineStr">
        <is>
          <t>Rating not allowed before completion</t>
        </is>
      </c>
      <c r="D3" s="8" t="inlineStr">
        <is>
          <t>State Transition</t>
        </is>
      </c>
      <c r="E3" s="8" t="inlineStr">
        <is>
          <t>High</t>
        </is>
      </c>
      <c r="F3" s="8" t="inlineStr">
        <is>
          <t>Logged in as Buyer 1. The order is To Receive.</t>
        </is>
      </c>
      <c r="G3" s="8" t="inlineStr">
        <is>
          <t>1. Look for Rate.
2. Try the request directly.</t>
        </is>
      </c>
      <c r="H3" s="8" t="inlineStr"/>
      <c r="I3" s="8" t="inlineStr">
        <is>
          <t>Not available; a direct request is rejected.</t>
        </is>
      </c>
      <c r="J3" s="8" t="inlineStr">
        <is>
          <t>A12</t>
        </is>
      </c>
      <c r="K3" s="5" t="n"/>
      <c r="L3" s="5" t="inlineStr">
        <is>
          <t>Not Run</t>
        </is>
      </c>
      <c r="M3" s="5" t="n"/>
    </row>
    <row r="4" ht="29.5" customHeight="1">
      <c r="A4" s="7" t="inlineStr">
        <is>
          <t>BUY-RATE-003</t>
        </is>
      </c>
      <c r="B4" s="8" t="inlineStr">
        <is>
          <t>Ratings &amp; Reviews</t>
        </is>
      </c>
      <c r="C4" s="8" t="inlineStr">
        <is>
          <t>One review per item</t>
        </is>
      </c>
      <c r="D4" s="8" t="inlineStr">
        <is>
          <t>Equivalence Partitioning</t>
        </is>
      </c>
      <c r="E4" s="8" t="inlineStr">
        <is>
          <t>Medium</t>
        </is>
      </c>
      <c r="F4" s="8" t="inlineStr">
        <is>
          <t>Logged in as Buyer 1. P-02 already reviewed in this order.</t>
        </is>
      </c>
      <c r="G4" s="8" t="inlineStr">
        <is>
          <t>1. Try to rate it again.</t>
        </is>
      </c>
      <c r="H4" s="8" t="inlineStr"/>
      <c r="I4" s="8" t="inlineStr">
        <is>
          <t>Blocked; only Edit is offered.</t>
        </is>
      </c>
      <c r="J4" s="8" t="inlineStr">
        <is>
          <t>A12</t>
        </is>
      </c>
      <c r="K4" s="5" t="n"/>
      <c r="L4" s="5" t="inlineStr">
        <is>
          <t>Not Run</t>
        </is>
      </c>
      <c r="M4" s="5" t="n"/>
    </row>
    <row r="5" ht="55" customHeight="1">
      <c r="A5" s="7" t="inlineStr">
        <is>
          <t>BUY-RATE-004</t>
        </is>
      </c>
      <c r="B5" s="8" t="inlineStr">
        <is>
          <t>Ratings &amp; Reviews</t>
        </is>
      </c>
      <c r="C5" s="8" t="inlineStr">
        <is>
          <t>Stars, text and photo limits</t>
        </is>
      </c>
      <c r="D5" s="8" t="inlineStr">
        <is>
          <t>Boundary Value Analysis</t>
        </is>
      </c>
      <c r="E5" s="8" t="inlineStr">
        <is>
          <t>Medium</t>
        </is>
      </c>
      <c r="F5" s="8" t="inlineStr">
        <is>
          <t>Logged in as Buyer 1.</t>
        </is>
      </c>
      <c r="G5" s="8" t="inlineStr">
        <is>
          <t>1. Submit with 0 stars.
2. Submit 500 characters of text, then 501.
3. Attach 5 photos, then try a 6th.</t>
        </is>
      </c>
      <c r="H5" s="8" t="inlineStr"/>
      <c r="I5" s="8" t="inlineStr">
        <is>
          <t>0 stars is blocked. 500 characters and 5 photos are accepted; 501 characters and a 6th photo are not.</t>
        </is>
      </c>
      <c r="J5" s="8" t="inlineStr">
        <is>
          <t>A12</t>
        </is>
      </c>
      <c r="K5" s="5" t="n"/>
      <c r="L5" s="5" t="inlineStr">
        <is>
          <t>Not Run</t>
        </is>
      </c>
      <c r="M5" s="5" t="n"/>
    </row>
    <row r="6" ht="55" customHeight="1">
      <c r="A6" s="7" t="inlineStr">
        <is>
          <t>BUY-RATE-005</t>
        </is>
      </c>
      <c r="B6" s="8" t="inlineStr">
        <is>
          <t>Ratings &amp; Reviews</t>
        </is>
      </c>
      <c r="C6" s="8" t="inlineStr">
        <is>
          <t>Edit once within the window</t>
        </is>
      </c>
      <c r="D6" s="8" t="inlineStr">
        <is>
          <t>State Transition</t>
        </is>
      </c>
      <c r="E6" s="8" t="inlineStr">
        <is>
          <t>Low</t>
        </is>
      </c>
      <c r="F6" s="8" t="inlineStr">
        <is>
          <t>Logged in as Buyer 1.</t>
        </is>
      </c>
      <c r="G6" s="8" t="inlineStr">
        <is>
          <t>1. Edit the review once.
2. Try to edit again.
3. On another review older than 30 days, try to edit.</t>
        </is>
      </c>
      <c r="H6" s="8" t="inlineStr"/>
      <c r="I6" s="8" t="inlineStr">
        <is>
          <t>The first edit saves. A second edit and an edit after 30 days are not possible.</t>
        </is>
      </c>
      <c r="J6" s="8" t="inlineStr">
        <is>
          <t>A12</t>
        </is>
      </c>
      <c r="K6" s="5" t="n"/>
      <c r="L6" s="5" t="inlineStr">
        <is>
          <t>Not Run</t>
        </is>
      </c>
      <c r="M6" s="5" t="n"/>
    </row>
    <row r="7" ht="29.5" customHeight="1">
      <c r="A7" s="7" t="inlineStr">
        <is>
          <t>BUY-RATE-006</t>
        </is>
      </c>
      <c r="B7" s="8" t="inlineStr">
        <is>
          <t>Ratings &amp; Reviews</t>
        </is>
      </c>
      <c r="C7" s="8" t="inlineStr">
        <is>
          <t>Average rating updates</t>
        </is>
      </c>
      <c r="D7" s="8" t="inlineStr">
        <is>
          <t>Use Case Testing</t>
        </is>
      </c>
      <c r="E7" s="8" t="inlineStr">
        <is>
          <t>Medium</t>
        </is>
      </c>
      <c r="F7" s="8" t="inlineStr">
        <is>
          <t>P-02 has one 4-star review.</t>
        </is>
      </c>
      <c r="G7" s="8" t="inlineStr">
        <is>
          <t>1. Buyer 2 adds a 2-star review.</t>
        </is>
      </c>
      <c r="H7" s="8" t="inlineStr"/>
      <c r="I7" s="8" t="inlineStr">
        <is>
          <t>Average becomes 3.0 and the count 2 on the product page and search card.</t>
        </is>
      </c>
      <c r="J7" s="8" t="inlineStr"/>
      <c r="K7" s="5" t="n"/>
      <c r="L7" s="5" t="inlineStr">
        <is>
          <t>Not Run</t>
        </is>
      </c>
      <c r="M7" s="5" t="n"/>
    </row>
  </sheetData>
  <autoFilter ref="A1:M7"/>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29.5" customHeight="1">
      <c r="A2" s="7" t="inlineStr">
        <is>
          <t>BUY-CHAT-001</t>
        </is>
      </c>
      <c r="B2" s="8" t="inlineStr">
        <is>
          <t>Chat &amp; Notifications</t>
        </is>
      </c>
      <c r="C2" s="8" t="inlineStr">
        <is>
          <t>Chat with a seller from a product</t>
        </is>
      </c>
      <c r="D2" s="8" t="inlineStr">
        <is>
          <t>Use Case Testing</t>
        </is>
      </c>
      <c r="E2" s="8" t="inlineStr">
        <is>
          <t>Medium</t>
        </is>
      </c>
      <c r="F2" s="8" t="inlineStr">
        <is>
          <t>Logged in as Buyer 1.</t>
        </is>
      </c>
      <c r="G2" s="8" t="inlineStr">
        <is>
          <t>1. On P-02 click Chat.
2. Send a message and an image.</t>
        </is>
      </c>
      <c r="H2" s="8" t="inlineStr">
        <is>
          <t>Hi, available pa po ba?
review_photo.jpg</t>
        </is>
      </c>
      <c r="I2" s="8" t="inlineStr">
        <is>
          <t>Seller 1 receives both in order. The chat shows the P-02 product card.</t>
        </is>
      </c>
      <c r="J2" s="8" t="inlineStr"/>
      <c r="K2" s="5" t="n"/>
      <c r="L2" s="5" t="inlineStr">
        <is>
          <t>Not Run</t>
        </is>
      </c>
      <c r="M2" s="5" t="n"/>
    </row>
    <row r="3" ht="42.25" customHeight="1">
      <c r="A3" s="7" t="inlineStr">
        <is>
          <t>BUY-CHAT-002</t>
        </is>
      </c>
      <c r="B3" s="8" t="inlineStr">
        <is>
          <t>Chat &amp; Notifications</t>
        </is>
      </c>
      <c r="C3" s="8" t="inlineStr">
        <is>
          <t>Invalid attachments and message length</t>
        </is>
      </c>
      <c r="D3" s="8" t="inlineStr">
        <is>
          <t>Boundary Value Analysis</t>
        </is>
      </c>
      <c r="E3" s="8" t="inlineStr">
        <is>
          <t>Low</t>
        </is>
      </c>
      <c r="F3" s="8" t="inlineStr">
        <is>
          <t>Logged in as Buyer 1.</t>
        </is>
      </c>
      <c r="G3" s="8" t="inlineStr">
        <is>
          <t>1. Attach installer.exe and size_5.1MB.jpg.
2. Send 1,001 characters.</t>
        </is>
      </c>
      <c r="H3" s="8" t="inlineStr"/>
      <c r="I3" s="8" t="inlineStr">
        <is>
          <t>All are rejected; nothing is sent.</t>
        </is>
      </c>
      <c r="J3" s="8" t="inlineStr">
        <is>
          <t>A16, A25</t>
        </is>
      </c>
      <c r="K3" s="5" t="n"/>
      <c r="L3" s="5" t="inlineStr">
        <is>
          <t>Not Run</t>
        </is>
      </c>
      <c r="M3" s="5" t="n"/>
    </row>
    <row r="4" ht="29.5" customHeight="1">
      <c r="A4" s="7" t="inlineStr">
        <is>
          <t>BUY-CHAT-003</t>
        </is>
      </c>
      <c r="B4" s="8" t="inlineStr">
        <is>
          <t>Chat &amp; Notifications</t>
        </is>
      </c>
      <c r="C4" s="8" t="inlineStr">
        <is>
          <t>Order status notifications</t>
        </is>
      </c>
      <c r="D4" s="8" t="inlineStr">
        <is>
          <t>State Transition</t>
        </is>
      </c>
      <c r="E4" s="8" t="inlineStr">
        <is>
          <t>High</t>
        </is>
      </c>
      <c r="F4" s="8" t="inlineStr">
        <is>
          <t>Logged in as Buyer 1.</t>
        </is>
      </c>
      <c r="G4" s="8" t="inlineStr">
        <is>
          <t>1. Move an order through Accepted, Picked Up, Out for Delivery and Delivered.</t>
        </is>
      </c>
      <c r="H4" s="8" t="inlineStr"/>
      <c r="I4" s="8" t="inlineStr">
        <is>
          <t>Exactly one notification per change. Each opens the right order.</t>
        </is>
      </c>
      <c r="J4" s="8" t="inlineStr">
        <is>
          <t>A23</t>
        </is>
      </c>
      <c r="K4" s="5" t="n"/>
      <c r="L4" s="5" t="inlineStr">
        <is>
          <t>Not Run</t>
        </is>
      </c>
      <c r="M4" s="5" t="n"/>
    </row>
    <row r="5" ht="29.5" customHeight="1">
      <c r="A5" s="7" t="inlineStr">
        <is>
          <t>BUY-CHAT-004</t>
        </is>
      </c>
      <c r="B5" s="8" t="inlineStr">
        <is>
          <t>Chat &amp; Notifications</t>
        </is>
      </c>
      <c r="C5" s="8" t="inlineStr">
        <is>
          <t>Flash-sale reminder</t>
        </is>
      </c>
      <c r="D5" s="8" t="inlineStr">
        <is>
          <t>Equivalence Partitioning</t>
        </is>
      </c>
      <c r="E5" s="8" t="inlineStr">
        <is>
          <t>Low</t>
        </is>
      </c>
      <c r="F5" s="8" t="inlineStr">
        <is>
          <t>Logged in as Buyer 1. Set a reminder for P-02's flash sale.</t>
        </is>
      </c>
      <c r="G5" s="8" t="inlineStr">
        <is>
          <t>1. Wait for the slot to start.</t>
        </is>
      </c>
      <c r="H5" s="8" t="inlineStr"/>
      <c r="I5" s="8" t="inlineStr">
        <is>
          <t>A reminder arrives before the slot starts and links to P-02.</t>
        </is>
      </c>
      <c r="J5" s="8" t="inlineStr"/>
      <c r="K5" s="5" t="n"/>
      <c r="L5" s="5" t="inlineStr">
        <is>
          <t>Not Run</t>
        </is>
      </c>
      <c r="M5" s="5" t="n"/>
    </row>
    <row r="6" ht="29.5" customHeight="1">
      <c r="A6" s="7" t="inlineStr">
        <is>
          <t>BUY-CHAT-005</t>
        </is>
      </c>
      <c r="B6" s="8" t="inlineStr">
        <is>
          <t>Chat &amp; Notifications</t>
        </is>
      </c>
      <c r="C6" s="8" t="inlineStr">
        <is>
          <t>Mark notifications as read</t>
        </is>
      </c>
      <c r="D6" s="8" t="inlineStr">
        <is>
          <t>Use Case Testing</t>
        </is>
      </c>
      <c r="E6" s="8" t="inlineStr">
        <is>
          <t>Low</t>
        </is>
      </c>
      <c r="F6" s="8" t="inlineStr">
        <is>
          <t>Logged in as Buyer 1. 3 unread notifications.</t>
        </is>
      </c>
      <c r="G6" s="8" t="inlineStr">
        <is>
          <t>1. Open one notification.
2. Click Mark all as read.</t>
        </is>
      </c>
      <c r="H6" s="8" t="inlineStr"/>
      <c r="I6" s="8" t="inlineStr">
        <is>
          <t>Unread count goes 3 → 2 → 0.</t>
        </is>
      </c>
      <c r="J6" s="8" t="inlineStr"/>
      <c r="K6" s="5" t="n"/>
      <c r="L6" s="5" t="inlineStr">
        <is>
          <t>Not Run</t>
        </is>
      </c>
      <c r="M6" s="5" t="n"/>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2026-10-14T03:54:29Z</dcterms:created>
  <dcterms:modified xmlns:dcterms="http://purl.org/dc/terms/" xmlns:xsi="http://www.w3.org/2001/XMLSchema-instance" xsi:type="dcterms:W3CDTF">2026-10-14T03:54:29Z</dcterms:modified>
</cp:coreProperties>
</file>